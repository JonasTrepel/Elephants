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rhusuniversitet-my.sharepoint.com/personal/au284926_uni_au_dk/Documents/Documents/Docs/People/Rob_Guldemond/"/>
    </mc:Choice>
  </mc:AlternateContent>
  <xr:revisionPtr revIDLastSave="0" documentId="8_{16671ADB-BCF2-4C39-B38F-2AF664C30C99}" xr6:coauthVersionLast="47" xr6:coauthVersionMax="47" xr10:uidLastSave="{00000000-0000-0000-0000-000000000000}"/>
  <bookViews>
    <workbookView xWindow="1068" yWindow="-108" windowWidth="22080" windowHeight="13176" activeTab="1" xr2:uid="{0E14B13D-A769-4503-A7B3-0DC1F6417011}"/>
  </bookViews>
  <sheets>
    <sheet name="Population estimates" sheetId="1" r:id="rId1"/>
    <sheet name="DA meth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Q16" i="2" l="1"/>
  <c r="DO16" i="2"/>
  <c r="DK16" i="2"/>
  <c r="DL16" i="2"/>
  <c r="IF38" i="2"/>
  <c r="IE38" i="2"/>
  <c r="IF35" i="2"/>
  <c r="IE35" i="2"/>
  <c r="IF34" i="2"/>
  <c r="IE34" i="2"/>
  <c r="IG34" i="2" s="1"/>
  <c r="IH34" i="2" s="1"/>
  <c r="IF33" i="2"/>
  <c r="IG33" i="2" s="1"/>
  <c r="IH33" i="2" s="1"/>
  <c r="IE33" i="2"/>
  <c r="IF32" i="2"/>
  <c r="IE32" i="2"/>
  <c r="IG32" i="2" s="1"/>
  <c r="IH32" i="2" s="1"/>
  <c r="IF31" i="2"/>
  <c r="IE31" i="2"/>
  <c r="IF30" i="2"/>
  <c r="IG30" i="2" s="1"/>
  <c r="IH30" i="2" s="1"/>
  <c r="IE30" i="2"/>
  <c r="IF29" i="2"/>
  <c r="IE29" i="2"/>
  <c r="IF28" i="2"/>
  <c r="IE28" i="2"/>
  <c r="IG28" i="2" s="1"/>
  <c r="IH28" i="2" s="1"/>
  <c r="IF27" i="2"/>
  <c r="IG27" i="2" s="1"/>
  <c r="IH27" i="2" s="1"/>
  <c r="IE27" i="2"/>
  <c r="IF26" i="2"/>
  <c r="IE26" i="2"/>
  <c r="IG26" i="2" s="1"/>
  <c r="IH26" i="2" s="1"/>
  <c r="IF25" i="2"/>
  <c r="IE25" i="2"/>
  <c r="IF24" i="2"/>
  <c r="IG24" i="2" s="1"/>
  <c r="IH24" i="2" s="1"/>
  <c r="IE24" i="2"/>
  <c r="IF23" i="2"/>
  <c r="IE23" i="2"/>
  <c r="IG23" i="2" s="1"/>
  <c r="IH23" i="2" s="1"/>
  <c r="IF22" i="2"/>
  <c r="IE22" i="2"/>
  <c r="IG22" i="2" s="1"/>
  <c r="IH22" i="2" s="1"/>
  <c r="IF21" i="2"/>
  <c r="IG21" i="2" s="1"/>
  <c r="IH21" i="2" s="1"/>
  <c r="IE21" i="2"/>
  <c r="IF18" i="2"/>
  <c r="IE18" i="2"/>
  <c r="IG18" i="2" s="1"/>
  <c r="IH18" i="2" s="1"/>
  <c r="IF16" i="2"/>
  <c r="IE16" i="2"/>
  <c r="IF15" i="2"/>
  <c r="IE15" i="2"/>
  <c r="IG15" i="2" s="1"/>
  <c r="IH15" i="2" s="1"/>
  <c r="IF14" i="2"/>
  <c r="IE14" i="2"/>
  <c r="IB38" i="2"/>
  <c r="IA38" i="2"/>
  <c r="IB35" i="2"/>
  <c r="IA35" i="2"/>
  <c r="IB34" i="2"/>
  <c r="IA34" i="2"/>
  <c r="IC34" i="2" s="1"/>
  <c r="ID34" i="2" s="1"/>
  <c r="IB33" i="2"/>
  <c r="IA33" i="2"/>
  <c r="IB32" i="2"/>
  <c r="IA32" i="2"/>
  <c r="IC32" i="2" s="1"/>
  <c r="ID32" i="2" s="1"/>
  <c r="IB31" i="2"/>
  <c r="IA31" i="2"/>
  <c r="IC31" i="2" s="1"/>
  <c r="ID31" i="2" s="1"/>
  <c r="IB30" i="2"/>
  <c r="IA30" i="2"/>
  <c r="IC30" i="2" s="1"/>
  <c r="ID30" i="2" s="1"/>
  <c r="IB29" i="2"/>
  <c r="IA29" i="2"/>
  <c r="IB28" i="2"/>
  <c r="IA28" i="2"/>
  <c r="IC28" i="2" s="1"/>
  <c r="ID28" i="2" s="1"/>
  <c r="IB27" i="2"/>
  <c r="IA27" i="2"/>
  <c r="IB26" i="2"/>
  <c r="IA26" i="2"/>
  <c r="IC26" i="2" s="1"/>
  <c r="ID26" i="2" s="1"/>
  <c r="IB25" i="2"/>
  <c r="IA25" i="2"/>
  <c r="IC25" i="2" s="1"/>
  <c r="ID25" i="2" s="1"/>
  <c r="IB24" i="2"/>
  <c r="IA24" i="2"/>
  <c r="IC24" i="2" s="1"/>
  <c r="ID24" i="2" s="1"/>
  <c r="IB23" i="2"/>
  <c r="IA23" i="2"/>
  <c r="IB22" i="2"/>
  <c r="IA22" i="2"/>
  <c r="IC22" i="2" s="1"/>
  <c r="ID22" i="2" s="1"/>
  <c r="IB21" i="2"/>
  <c r="IA21" i="2"/>
  <c r="IA18" i="2"/>
  <c r="IB18" i="2"/>
  <c r="IC18" i="2" s="1"/>
  <c r="ID18" i="2" s="1"/>
  <c r="IB16" i="2"/>
  <c r="IA16" i="2"/>
  <c r="IB13" i="2"/>
  <c r="IA13" i="2"/>
  <c r="IB9" i="2"/>
  <c r="IA9" i="2"/>
  <c r="IC9" i="2" s="1"/>
  <c r="ID9" i="2" s="1"/>
  <c r="HX42" i="2"/>
  <c r="HW42" i="2"/>
  <c r="HY42" i="2" s="1"/>
  <c r="HZ42" i="2" s="1"/>
  <c r="HX40" i="2"/>
  <c r="HW40" i="2"/>
  <c r="HX39" i="2"/>
  <c r="HW39" i="2"/>
  <c r="HY39" i="2" s="1"/>
  <c r="HZ39" i="2" s="1"/>
  <c r="HX38" i="2"/>
  <c r="HW38" i="2"/>
  <c r="HY38" i="2" s="1"/>
  <c r="HZ38" i="2" s="1"/>
  <c r="HX37" i="2"/>
  <c r="HY37" i="2" s="1"/>
  <c r="HZ37" i="2" s="1"/>
  <c r="HW37" i="2"/>
  <c r="HX36" i="2"/>
  <c r="HW36" i="2"/>
  <c r="HY36" i="2" s="1"/>
  <c r="HZ36" i="2" s="1"/>
  <c r="HX35" i="2"/>
  <c r="HW35" i="2"/>
  <c r="HY35" i="2" s="1"/>
  <c r="HZ35" i="2" s="1"/>
  <c r="HX33" i="2"/>
  <c r="HW33" i="2"/>
  <c r="HX32" i="2"/>
  <c r="HW32" i="2"/>
  <c r="HY32" i="2" s="1"/>
  <c r="HZ32" i="2" s="1"/>
  <c r="HX31" i="2"/>
  <c r="HW31" i="2"/>
  <c r="HX27" i="2"/>
  <c r="HW27" i="2"/>
  <c r="HX20" i="2"/>
  <c r="HW20" i="2"/>
  <c r="HY20" i="2" s="1"/>
  <c r="HZ20" i="2" s="1"/>
  <c r="HY27" i="2"/>
  <c r="HZ27" i="2" s="1"/>
  <c r="HX26" i="2"/>
  <c r="HW26" i="2"/>
  <c r="HX25" i="2"/>
  <c r="HY25" i="2" s="1"/>
  <c r="HZ25" i="2" s="1"/>
  <c r="HW25" i="2"/>
  <c r="HX24" i="2"/>
  <c r="HW24" i="2"/>
  <c r="HX23" i="2"/>
  <c r="HW23" i="2"/>
  <c r="HY23" i="2" s="1"/>
  <c r="HZ23" i="2" s="1"/>
  <c r="HX22" i="2"/>
  <c r="HY22" i="2" s="1"/>
  <c r="HZ22" i="2" s="1"/>
  <c r="HW22" i="2"/>
  <c r="HX19" i="2"/>
  <c r="HW19" i="2"/>
  <c r="HX18" i="2"/>
  <c r="HW18" i="2"/>
  <c r="HX16" i="2"/>
  <c r="HW16" i="2"/>
  <c r="HX15" i="2"/>
  <c r="HW15" i="2"/>
  <c r="HX14" i="2"/>
  <c r="HW14" i="2"/>
  <c r="HY14" i="2" s="1"/>
  <c r="HZ14" i="2" s="1"/>
  <c r="HX13" i="2"/>
  <c r="HW13" i="2"/>
  <c r="HY13" i="2" s="1"/>
  <c r="HZ13" i="2" s="1"/>
  <c r="HX12" i="2"/>
  <c r="HW12" i="2"/>
  <c r="HY12" i="2" s="1"/>
  <c r="HZ12" i="2" s="1"/>
  <c r="HX11" i="2"/>
  <c r="HW11" i="2"/>
  <c r="HX10" i="2"/>
  <c r="HW10" i="2"/>
  <c r="HY10" i="2" s="1"/>
  <c r="HZ10" i="2" s="1"/>
  <c r="HX9" i="2"/>
  <c r="HW9" i="2"/>
  <c r="HY9" i="2" s="1"/>
  <c r="HZ9" i="2" s="1"/>
  <c r="HX8" i="2"/>
  <c r="HW8" i="2"/>
  <c r="HY8" i="2" s="1"/>
  <c r="HZ8" i="2" s="1"/>
  <c r="HX7" i="2"/>
  <c r="HW7" i="2"/>
  <c r="HY7" i="2" s="1"/>
  <c r="HZ7" i="2" s="1"/>
  <c r="HX6" i="2"/>
  <c r="HW6" i="2"/>
  <c r="HY6" i="2" s="1"/>
  <c r="HZ6" i="2" s="1"/>
  <c r="HX5" i="2"/>
  <c r="HW5" i="2"/>
  <c r="HX17" i="2"/>
  <c r="HW17" i="2"/>
  <c r="HY17" i="2" s="1"/>
  <c r="HZ17" i="2" s="1"/>
  <c r="HT31" i="2"/>
  <c r="HS31" i="2"/>
  <c r="HU31" i="2" s="1"/>
  <c r="HV31" i="2" s="1"/>
  <c r="HT25" i="2"/>
  <c r="HS25" i="2"/>
  <c r="HT22" i="2"/>
  <c r="HS22" i="2"/>
  <c r="HT17" i="2"/>
  <c r="HS17" i="2"/>
  <c r="HU17" i="2" s="1"/>
  <c r="HV17" i="2" s="1"/>
  <c r="HP34" i="2"/>
  <c r="HO34" i="2"/>
  <c r="HP31" i="2"/>
  <c r="HO31" i="2"/>
  <c r="HP30" i="2"/>
  <c r="HO30" i="2"/>
  <c r="HQ30" i="2" s="1"/>
  <c r="HR30" i="2" s="1"/>
  <c r="HP29" i="2"/>
  <c r="HO29" i="2"/>
  <c r="HP28" i="2"/>
  <c r="HO28" i="2"/>
  <c r="HP27" i="2"/>
  <c r="HO27" i="2"/>
  <c r="HQ27" i="2" s="1"/>
  <c r="HR27" i="2" s="1"/>
  <c r="HP26" i="2"/>
  <c r="HQ26" i="2" s="1"/>
  <c r="HR26" i="2" s="1"/>
  <c r="HO26" i="2"/>
  <c r="HP24" i="2"/>
  <c r="HO24" i="2"/>
  <c r="HP21" i="2"/>
  <c r="HO21" i="2"/>
  <c r="HP17" i="2"/>
  <c r="HO17" i="2"/>
  <c r="HP16" i="2"/>
  <c r="HO16" i="2"/>
  <c r="HQ16" i="2" s="1"/>
  <c r="HR16" i="2" s="1"/>
  <c r="HP15" i="2"/>
  <c r="HO15" i="2"/>
  <c r="HP10" i="2"/>
  <c r="HO10" i="2"/>
  <c r="HP9" i="2"/>
  <c r="HO9" i="2"/>
  <c r="HQ9" i="2" s="1"/>
  <c r="HR9" i="2" s="1"/>
  <c r="HP8" i="2"/>
  <c r="HO8" i="2"/>
  <c r="HP7" i="2"/>
  <c r="HO7" i="2"/>
  <c r="HQ7" i="2" s="1"/>
  <c r="HR7" i="2" s="1"/>
  <c r="HP6" i="2"/>
  <c r="HO6" i="2"/>
  <c r="HQ6" i="2" s="1"/>
  <c r="HR6" i="2" s="1"/>
  <c r="HP5" i="2"/>
  <c r="HO5" i="2"/>
  <c r="HL25" i="2"/>
  <c r="HK25" i="2"/>
  <c r="HL23" i="2"/>
  <c r="HK23" i="2"/>
  <c r="HM23" i="2" s="1"/>
  <c r="HN23" i="2" s="1"/>
  <c r="HK21" i="2"/>
  <c r="HL21" i="2"/>
  <c r="HM21" i="2" s="1"/>
  <c r="HN21" i="2" s="1"/>
  <c r="HL22" i="2"/>
  <c r="HK22" i="2"/>
  <c r="HH25" i="2"/>
  <c r="HG25" i="2"/>
  <c r="HH22" i="2"/>
  <c r="HG22" i="2"/>
  <c r="HI22" i="2" s="1"/>
  <c r="HJ22" i="2" s="1"/>
  <c r="HG17" i="2"/>
  <c r="HH14" i="2"/>
  <c r="HG14" i="2"/>
  <c r="HH17" i="2"/>
  <c r="HD35" i="2"/>
  <c r="HC35" i="2"/>
  <c r="HD32" i="2"/>
  <c r="HC32" i="2"/>
  <c r="HD31" i="2"/>
  <c r="HC31" i="2"/>
  <c r="HE31" i="2" s="1"/>
  <c r="HF31" i="2" s="1"/>
  <c r="HD25" i="2"/>
  <c r="HC25" i="2"/>
  <c r="HD20" i="2"/>
  <c r="HC20" i="2"/>
  <c r="HD19" i="2"/>
  <c r="HC19" i="2"/>
  <c r="HE19" i="2" s="1"/>
  <c r="HF19" i="2" s="1"/>
  <c r="HD18" i="2"/>
  <c r="HE18" i="2" s="1"/>
  <c r="HF18" i="2" s="1"/>
  <c r="HC18" i="2"/>
  <c r="HD17" i="2"/>
  <c r="HC17" i="2"/>
  <c r="GZ35" i="2"/>
  <c r="GY35" i="2"/>
  <c r="HA35" i="2" s="1"/>
  <c r="HB35" i="2" s="1"/>
  <c r="GZ33" i="2"/>
  <c r="HA33" i="2" s="1"/>
  <c r="HB33" i="2" s="1"/>
  <c r="GY33" i="2"/>
  <c r="GZ32" i="2"/>
  <c r="GY32" i="2"/>
  <c r="GZ31" i="2"/>
  <c r="GY31" i="2"/>
  <c r="HA31" i="2" s="1"/>
  <c r="HB31" i="2" s="1"/>
  <c r="GZ30" i="2"/>
  <c r="GY30" i="2"/>
  <c r="HA30" i="2" s="1"/>
  <c r="HB30" i="2" s="1"/>
  <c r="GZ29" i="2"/>
  <c r="GY29" i="2"/>
  <c r="GZ27" i="2"/>
  <c r="GY27" i="2"/>
  <c r="HA27" i="2" s="1"/>
  <c r="HB27" i="2" s="1"/>
  <c r="GZ26" i="2"/>
  <c r="HA26" i="2" s="1"/>
  <c r="HB26" i="2" s="1"/>
  <c r="GY26" i="2"/>
  <c r="GZ25" i="2"/>
  <c r="GY25" i="2"/>
  <c r="HA25" i="2" s="1"/>
  <c r="HB25" i="2" s="1"/>
  <c r="GZ24" i="2"/>
  <c r="HA24" i="2" s="1"/>
  <c r="HB24" i="2" s="1"/>
  <c r="GY24" i="2"/>
  <c r="GZ22" i="2"/>
  <c r="GY22" i="2"/>
  <c r="GZ21" i="2"/>
  <c r="GY21" i="2"/>
  <c r="HA21" i="2" s="1"/>
  <c r="HB21" i="2" s="1"/>
  <c r="GZ20" i="2"/>
  <c r="GY20" i="2"/>
  <c r="HA20" i="2" s="1"/>
  <c r="HB20" i="2" s="1"/>
  <c r="GZ17" i="2"/>
  <c r="GY17" i="2"/>
  <c r="GZ16" i="2"/>
  <c r="GY16" i="2"/>
  <c r="HA16" i="2" s="1"/>
  <c r="HB16" i="2" s="1"/>
  <c r="GZ15" i="2"/>
  <c r="GY15" i="2"/>
  <c r="GZ14" i="2"/>
  <c r="HA14" i="2" s="1"/>
  <c r="HB14" i="2" s="1"/>
  <c r="GY14" i="2"/>
  <c r="GZ13" i="2"/>
  <c r="GY13" i="2"/>
  <c r="HA13" i="2" s="1"/>
  <c r="HB13" i="2" s="1"/>
  <c r="GZ12" i="2"/>
  <c r="GY12" i="2"/>
  <c r="HA12" i="2" s="1"/>
  <c r="HB12" i="2" s="1"/>
  <c r="GZ10" i="2"/>
  <c r="GY10" i="2"/>
  <c r="GZ9" i="2"/>
  <c r="GY9" i="2"/>
  <c r="HA9" i="2" s="1"/>
  <c r="HB9" i="2" s="1"/>
  <c r="GZ8" i="2"/>
  <c r="HA8" i="2" s="1"/>
  <c r="HB8" i="2" s="1"/>
  <c r="GY8" i="2"/>
  <c r="GZ7" i="2"/>
  <c r="GY7" i="2"/>
  <c r="GZ6" i="2"/>
  <c r="GY6" i="2"/>
  <c r="HA6" i="2" s="1"/>
  <c r="HB6" i="2" s="1"/>
  <c r="GZ5" i="2"/>
  <c r="GY5" i="2"/>
  <c r="GV35" i="2"/>
  <c r="GU35" i="2"/>
  <c r="GV34" i="2"/>
  <c r="GU34" i="2"/>
  <c r="GW34" i="2" s="1"/>
  <c r="GX34" i="2" s="1"/>
  <c r="GV33" i="2"/>
  <c r="GU33" i="2"/>
  <c r="GV32" i="2"/>
  <c r="GU32" i="2"/>
  <c r="GV31" i="2"/>
  <c r="GU31" i="2"/>
  <c r="GU28" i="2"/>
  <c r="GV28" i="2"/>
  <c r="GV26" i="2"/>
  <c r="GW26" i="2" s="1"/>
  <c r="GX26" i="2" s="1"/>
  <c r="GU26" i="2"/>
  <c r="GV24" i="2"/>
  <c r="GU24" i="2"/>
  <c r="GV22" i="2"/>
  <c r="GU22" i="2"/>
  <c r="GV19" i="2"/>
  <c r="GU19" i="2"/>
  <c r="GV18" i="2"/>
  <c r="GU18" i="2"/>
  <c r="GV16" i="2"/>
  <c r="GU16" i="2"/>
  <c r="GU15" i="2"/>
  <c r="GV15" i="2"/>
  <c r="GV7" i="2"/>
  <c r="GU7" i="2"/>
  <c r="GI30" i="2"/>
  <c r="GJ30" i="2"/>
  <c r="GI26" i="2"/>
  <c r="GJ26" i="2"/>
  <c r="GJ22" i="2"/>
  <c r="GI22" i="2"/>
  <c r="GF29" i="2"/>
  <c r="GE29" i="2"/>
  <c r="GG29" i="2" s="1"/>
  <c r="GH29" i="2" s="1"/>
  <c r="GE30" i="2"/>
  <c r="GG30" i="2" s="1"/>
  <c r="GH30" i="2" s="1"/>
  <c r="GF30" i="2"/>
  <c r="GF28" i="2"/>
  <c r="GG28" i="2" s="1"/>
  <c r="GH28" i="2" s="1"/>
  <c r="GE28" i="2"/>
  <c r="GF27" i="2"/>
  <c r="GE27" i="2"/>
  <c r="GG27" i="2" s="1"/>
  <c r="GH27" i="2" s="1"/>
  <c r="GF26" i="2"/>
  <c r="GE26" i="2"/>
  <c r="GE22" i="2"/>
  <c r="GG22" i="2" s="1"/>
  <c r="GH22" i="2" s="1"/>
  <c r="GF22" i="2"/>
  <c r="GF18" i="2"/>
  <c r="GE18" i="2"/>
  <c r="GF17" i="2"/>
  <c r="GE17" i="2"/>
  <c r="GG17" i="2" s="1"/>
  <c r="GH17" i="2" s="1"/>
  <c r="GF16" i="2"/>
  <c r="GE16" i="2"/>
  <c r="GE13" i="2"/>
  <c r="GF13" i="2"/>
  <c r="GF10" i="2"/>
  <c r="GE10" i="2"/>
  <c r="GB29" i="2"/>
  <c r="GA29" i="2"/>
  <c r="GB28" i="2"/>
  <c r="GA28" i="2"/>
  <c r="GB27" i="2"/>
  <c r="GA27" i="2"/>
  <c r="GB26" i="2"/>
  <c r="GA26" i="2"/>
  <c r="GB17" i="2"/>
  <c r="GA17" i="2"/>
  <c r="FX14" i="2"/>
  <c r="GB10" i="2"/>
  <c r="GA10" i="2"/>
  <c r="FX37" i="2"/>
  <c r="FW37" i="2"/>
  <c r="FY37" i="2" s="1"/>
  <c r="FZ37" i="2" s="1"/>
  <c r="FX35" i="2"/>
  <c r="FW35" i="2"/>
  <c r="FX34" i="2"/>
  <c r="FW34" i="2"/>
  <c r="FX33" i="2"/>
  <c r="FW33" i="2"/>
  <c r="FX32" i="2"/>
  <c r="FW32" i="2"/>
  <c r="FX31" i="2"/>
  <c r="FW31" i="2"/>
  <c r="FX30" i="2"/>
  <c r="FW30" i="2"/>
  <c r="FY30" i="2" s="1"/>
  <c r="FZ30" i="2" s="1"/>
  <c r="FX29" i="2"/>
  <c r="FY29" i="2" s="1"/>
  <c r="FZ29" i="2" s="1"/>
  <c r="FW29" i="2"/>
  <c r="FX28" i="2"/>
  <c r="FW28" i="2"/>
  <c r="FX27" i="2"/>
  <c r="FW27" i="2"/>
  <c r="FY27" i="2" s="1"/>
  <c r="FZ27" i="2" s="1"/>
  <c r="FX26" i="2"/>
  <c r="FW26" i="2"/>
  <c r="FX25" i="2"/>
  <c r="FW25" i="2"/>
  <c r="FW22" i="2"/>
  <c r="FX24" i="2"/>
  <c r="FW24" i="2"/>
  <c r="FX17" i="2"/>
  <c r="FW17" i="2"/>
  <c r="FY17" i="2" s="1"/>
  <c r="FZ17" i="2" s="1"/>
  <c r="FX22" i="2"/>
  <c r="FX16" i="2"/>
  <c r="FW16" i="2"/>
  <c r="FW14" i="2"/>
  <c r="FT37" i="2"/>
  <c r="FS37" i="2"/>
  <c r="FT35" i="2"/>
  <c r="FS35" i="2"/>
  <c r="FT34" i="2"/>
  <c r="FS34" i="2"/>
  <c r="FT33" i="2"/>
  <c r="FS33" i="2"/>
  <c r="FT32" i="2"/>
  <c r="FS32" i="2"/>
  <c r="FT31" i="2"/>
  <c r="FS31" i="2"/>
  <c r="FU31" i="2" s="1"/>
  <c r="FV31" i="2" s="1"/>
  <c r="FT30" i="2"/>
  <c r="FS30" i="2"/>
  <c r="FT29" i="2"/>
  <c r="FS29" i="2"/>
  <c r="FT28" i="2"/>
  <c r="FS28" i="2"/>
  <c r="FT27" i="2"/>
  <c r="FS27" i="2"/>
  <c r="FT26" i="2"/>
  <c r="FS26" i="2"/>
  <c r="FT24" i="2"/>
  <c r="FS24" i="2"/>
  <c r="FU24" i="2" s="1"/>
  <c r="FV24" i="2" s="1"/>
  <c r="FT22" i="2"/>
  <c r="FS22" i="2"/>
  <c r="FT17" i="2"/>
  <c r="FS17" i="2"/>
  <c r="FT16" i="2"/>
  <c r="FS16" i="2"/>
  <c r="FT14" i="2"/>
  <c r="FS14" i="2"/>
  <c r="FP35" i="2"/>
  <c r="FO35" i="2"/>
  <c r="FQ35" i="2" s="1"/>
  <c r="FR35" i="2" s="1"/>
  <c r="FP34" i="2"/>
  <c r="FO34" i="2"/>
  <c r="FQ34" i="2" s="1"/>
  <c r="FR34" i="2" s="1"/>
  <c r="FP33" i="2"/>
  <c r="FO33" i="2"/>
  <c r="FP32" i="2"/>
  <c r="FQ32" i="2" s="1"/>
  <c r="FR32" i="2" s="1"/>
  <c r="FO32" i="2"/>
  <c r="FP31" i="2"/>
  <c r="FO31" i="2"/>
  <c r="FP30" i="2"/>
  <c r="FO30" i="2"/>
  <c r="FP29" i="2"/>
  <c r="FO29" i="2"/>
  <c r="FP28" i="2"/>
  <c r="FO28" i="2"/>
  <c r="FQ28" i="2" s="1"/>
  <c r="FR28" i="2" s="1"/>
  <c r="FP27" i="2"/>
  <c r="FO27" i="2"/>
  <c r="FP26" i="2"/>
  <c r="FQ26" i="2" s="1"/>
  <c r="FR26" i="2" s="1"/>
  <c r="FO26" i="2"/>
  <c r="FP25" i="2"/>
  <c r="FO25" i="2"/>
  <c r="FP24" i="2"/>
  <c r="FO24" i="2"/>
  <c r="FP22" i="2"/>
  <c r="FO22" i="2"/>
  <c r="FQ22" i="2" s="1"/>
  <c r="FR22" i="2" s="1"/>
  <c r="FL37" i="2"/>
  <c r="FK37" i="2"/>
  <c r="FL35" i="2"/>
  <c r="FK35" i="2"/>
  <c r="FL34" i="2"/>
  <c r="FK34" i="2"/>
  <c r="FL33" i="2"/>
  <c r="FK33" i="2"/>
  <c r="FL32" i="2"/>
  <c r="FK32" i="2"/>
  <c r="FL31" i="2"/>
  <c r="FK31" i="2"/>
  <c r="FL30" i="2"/>
  <c r="FK30" i="2"/>
  <c r="FL29" i="2"/>
  <c r="FK29" i="2"/>
  <c r="FL28" i="2"/>
  <c r="FK28" i="2"/>
  <c r="FL27" i="2"/>
  <c r="FK27" i="2"/>
  <c r="FL26" i="2"/>
  <c r="FK26" i="2"/>
  <c r="FL25" i="2"/>
  <c r="FK25" i="2"/>
  <c r="FL22" i="2"/>
  <c r="FK22" i="2"/>
  <c r="FM22" i="2" s="1"/>
  <c r="FN22" i="2" s="1"/>
  <c r="FL24" i="2"/>
  <c r="FK24" i="2"/>
  <c r="FL17" i="2"/>
  <c r="FK17" i="2"/>
  <c r="FL16" i="2"/>
  <c r="FK16" i="2"/>
  <c r="FL9" i="2"/>
  <c r="FK9" i="2"/>
  <c r="FL8" i="2"/>
  <c r="FK8" i="2"/>
  <c r="FL5" i="2"/>
  <c r="FK5" i="2"/>
  <c r="FH26" i="2"/>
  <c r="FG26" i="2"/>
  <c r="FH17" i="2"/>
  <c r="FG17" i="2"/>
  <c r="FH14" i="2"/>
  <c r="FG14" i="2"/>
  <c r="FH10" i="2"/>
  <c r="FG10" i="2"/>
  <c r="FD35" i="2"/>
  <c r="FC35" i="2"/>
  <c r="FD32" i="2"/>
  <c r="FC32" i="2"/>
  <c r="FD31" i="2"/>
  <c r="FC31" i="2"/>
  <c r="FE31" i="2" s="1"/>
  <c r="FF31" i="2" s="1"/>
  <c r="FD30" i="2"/>
  <c r="FE30" i="2" s="1"/>
  <c r="FF30" i="2" s="1"/>
  <c r="FC30" i="2"/>
  <c r="FD29" i="2"/>
  <c r="FC29" i="2"/>
  <c r="FD28" i="2"/>
  <c r="FC28" i="2"/>
  <c r="FD27" i="2"/>
  <c r="FC27" i="2"/>
  <c r="FD26" i="2"/>
  <c r="FC26" i="2"/>
  <c r="FD25" i="2"/>
  <c r="FC25" i="2"/>
  <c r="FD24" i="2"/>
  <c r="FC24" i="2"/>
  <c r="FD23" i="2"/>
  <c r="FC23" i="2"/>
  <c r="FD22" i="2"/>
  <c r="FC22" i="2"/>
  <c r="FD21" i="2"/>
  <c r="FC21" i="2"/>
  <c r="FD20" i="2"/>
  <c r="FC20" i="2"/>
  <c r="FD19" i="2"/>
  <c r="FC19" i="2"/>
  <c r="FE19" i="2" s="1"/>
  <c r="FF19" i="2" s="1"/>
  <c r="FD18" i="2"/>
  <c r="FC18" i="2"/>
  <c r="FD17" i="2"/>
  <c r="FE17" i="2" s="1"/>
  <c r="FF17" i="2" s="1"/>
  <c r="FC17" i="2"/>
  <c r="FD16" i="2"/>
  <c r="FC16" i="2"/>
  <c r="FE16" i="2" s="1"/>
  <c r="FF16" i="2" s="1"/>
  <c r="FD15" i="2"/>
  <c r="FC15" i="2"/>
  <c r="FD14" i="2"/>
  <c r="FC14" i="2"/>
  <c r="FD13" i="2"/>
  <c r="FC13" i="2"/>
  <c r="FE13" i="2" s="1"/>
  <c r="FF13" i="2" s="1"/>
  <c r="FD12" i="2"/>
  <c r="FC12" i="2"/>
  <c r="FD11" i="2"/>
  <c r="FC11" i="2"/>
  <c r="FD10" i="2"/>
  <c r="FC10" i="2"/>
  <c r="FD9" i="2"/>
  <c r="FC9" i="2"/>
  <c r="FD8" i="2"/>
  <c r="FC8" i="2"/>
  <c r="FD7" i="2"/>
  <c r="FC7" i="2"/>
  <c r="FD5" i="2"/>
  <c r="FC5" i="2"/>
  <c r="FE5" i="2" s="1"/>
  <c r="FF5" i="2" s="1"/>
  <c r="FD6" i="2"/>
  <c r="FC6" i="2"/>
  <c r="EZ30" i="2"/>
  <c r="EY30" i="2"/>
  <c r="EZ29" i="2"/>
  <c r="EY29" i="2"/>
  <c r="FA29" i="2" s="1"/>
  <c r="FB29" i="2" s="1"/>
  <c r="EZ28" i="2"/>
  <c r="EY28" i="2"/>
  <c r="EZ27" i="2"/>
  <c r="EY27" i="2"/>
  <c r="EZ26" i="2"/>
  <c r="EY26" i="2"/>
  <c r="FA26" i="2" s="1"/>
  <c r="FB26" i="2" s="1"/>
  <c r="EZ25" i="2"/>
  <c r="EY25" i="2"/>
  <c r="EZ22" i="2"/>
  <c r="EY22" i="2"/>
  <c r="EZ17" i="2"/>
  <c r="EY17" i="2"/>
  <c r="EZ10" i="2"/>
  <c r="EY10" i="2"/>
  <c r="EV41" i="2"/>
  <c r="EU41" i="2"/>
  <c r="EV38" i="2"/>
  <c r="EU38" i="2"/>
  <c r="EV36" i="2"/>
  <c r="EU36" i="2"/>
  <c r="EV34" i="2"/>
  <c r="EU34" i="2"/>
  <c r="EV33" i="2"/>
  <c r="EU33" i="2"/>
  <c r="EW33" i="2" s="1"/>
  <c r="EX33" i="2" s="1"/>
  <c r="EV29" i="2"/>
  <c r="EU29" i="2"/>
  <c r="EV27" i="2"/>
  <c r="EU27" i="2"/>
  <c r="EV21" i="2"/>
  <c r="EU21" i="2"/>
  <c r="EW21" i="2" s="1"/>
  <c r="EX21" i="2" s="1"/>
  <c r="EV18" i="2"/>
  <c r="EU18" i="2"/>
  <c r="EV16" i="2"/>
  <c r="EU16" i="2"/>
  <c r="EV15" i="2"/>
  <c r="EU15" i="2"/>
  <c r="EW15" i="2" s="1"/>
  <c r="EX15" i="2" s="1"/>
  <c r="EV13" i="2"/>
  <c r="EU13" i="2"/>
  <c r="EV11" i="2"/>
  <c r="EU11" i="2"/>
  <c r="EV9" i="2"/>
  <c r="EU9" i="2"/>
  <c r="EV7" i="2"/>
  <c r="EU7" i="2"/>
  <c r="EV6" i="2"/>
  <c r="EU6" i="2"/>
  <c r="ER32" i="2"/>
  <c r="EQ32" i="2"/>
  <c r="ES32" i="2" s="1"/>
  <c r="ET32" i="2" s="1"/>
  <c r="ER30" i="2"/>
  <c r="EQ30" i="2"/>
  <c r="ES30" i="2" s="1"/>
  <c r="ET30" i="2" s="1"/>
  <c r="ER28" i="2"/>
  <c r="EQ28" i="2"/>
  <c r="ER27" i="2"/>
  <c r="EQ27" i="2"/>
  <c r="ES27" i="2" s="1"/>
  <c r="ET27" i="2" s="1"/>
  <c r="ER23" i="2"/>
  <c r="EQ23" i="2"/>
  <c r="ER21" i="2"/>
  <c r="EQ21" i="2"/>
  <c r="ER20" i="2"/>
  <c r="EQ20" i="2"/>
  <c r="EN29" i="2"/>
  <c r="EM29" i="2"/>
  <c r="EO29" i="2" s="1"/>
  <c r="EP29" i="2" s="1"/>
  <c r="EN27" i="2"/>
  <c r="EM27" i="2"/>
  <c r="EN25" i="2"/>
  <c r="EM25" i="2"/>
  <c r="EN22" i="2"/>
  <c r="EM22" i="2"/>
  <c r="EN15" i="2"/>
  <c r="EM15" i="2"/>
  <c r="EJ32" i="2"/>
  <c r="EI32" i="2"/>
  <c r="EJ30" i="2"/>
  <c r="EI30" i="2"/>
  <c r="EK30" i="2" s="1"/>
  <c r="EL30" i="2" s="1"/>
  <c r="EJ28" i="2"/>
  <c r="EI28" i="2"/>
  <c r="EJ27" i="2"/>
  <c r="EI27" i="2"/>
  <c r="EK27" i="2" s="1"/>
  <c r="EL27" i="2" s="1"/>
  <c r="EI24" i="2"/>
  <c r="EJ24" i="2"/>
  <c r="EJ21" i="2"/>
  <c r="EI21" i="2"/>
  <c r="EJ20" i="2"/>
  <c r="EI20" i="2"/>
  <c r="EJ19" i="2"/>
  <c r="EI19" i="2"/>
  <c r="EK19" i="2" s="1"/>
  <c r="EL19" i="2" s="1"/>
  <c r="EJ17" i="2"/>
  <c r="EI17" i="2"/>
  <c r="EJ16" i="2"/>
  <c r="EI16" i="2"/>
  <c r="EK16" i="2" s="1"/>
  <c r="EL16" i="2" s="1"/>
  <c r="EJ15" i="2"/>
  <c r="EI15" i="2"/>
  <c r="EJ14" i="2"/>
  <c r="EI14" i="2"/>
  <c r="EK14" i="2" s="1"/>
  <c r="EL14" i="2" s="1"/>
  <c r="EJ13" i="2"/>
  <c r="EI13" i="2"/>
  <c r="EJ11" i="2"/>
  <c r="EI11" i="2"/>
  <c r="EF26" i="2"/>
  <c r="EE26" i="2"/>
  <c r="EF21" i="2"/>
  <c r="EE21" i="2"/>
  <c r="EF17" i="2"/>
  <c r="EE17" i="2"/>
  <c r="EE13" i="2"/>
  <c r="EF13" i="2"/>
  <c r="EF9" i="2"/>
  <c r="EE9" i="2"/>
  <c r="EF7" i="2"/>
  <c r="EE7" i="2"/>
  <c r="EF6" i="2"/>
  <c r="EE6" i="2"/>
  <c r="EF5" i="2"/>
  <c r="EE5" i="2"/>
  <c r="EB40" i="2"/>
  <c r="EA40" i="2"/>
  <c r="EB34" i="2"/>
  <c r="EA34" i="2"/>
  <c r="EB26" i="2"/>
  <c r="EA26" i="2"/>
  <c r="EB21" i="2"/>
  <c r="EA21" i="2"/>
  <c r="EC21" i="2" s="1"/>
  <c r="ED21" i="2" s="1"/>
  <c r="EB17" i="2"/>
  <c r="EA17" i="2"/>
  <c r="EA13" i="2"/>
  <c r="EB13" i="2"/>
  <c r="EB9" i="2"/>
  <c r="EA9" i="2"/>
  <c r="EB8" i="2"/>
  <c r="EA8" i="2"/>
  <c r="EC8" i="2" s="1"/>
  <c r="ED8" i="2" s="1"/>
  <c r="EB7" i="2"/>
  <c r="EA7" i="2"/>
  <c r="EB5" i="2"/>
  <c r="EA5" i="2"/>
  <c r="DX27" i="2"/>
  <c r="DW27" i="2"/>
  <c r="DX21" i="2"/>
  <c r="DW21" i="2"/>
  <c r="DX19" i="2"/>
  <c r="DW19" i="2"/>
  <c r="DX18" i="2"/>
  <c r="DW18" i="2"/>
  <c r="DY18" i="2" s="1"/>
  <c r="DZ18" i="2" s="1"/>
  <c r="DX17" i="2"/>
  <c r="DW17" i="2"/>
  <c r="DX16" i="2"/>
  <c r="DW16" i="2"/>
  <c r="DX15" i="2"/>
  <c r="DW15" i="2"/>
  <c r="DY15" i="2" s="1"/>
  <c r="DZ15" i="2" s="1"/>
  <c r="DX14" i="2"/>
  <c r="DW14" i="2"/>
  <c r="DY14" i="2" s="1"/>
  <c r="DZ14" i="2" s="1"/>
  <c r="DX13" i="2"/>
  <c r="DW13" i="2"/>
  <c r="DX12" i="2"/>
  <c r="DW12" i="2"/>
  <c r="DY12" i="2" s="1"/>
  <c r="DZ12" i="2" s="1"/>
  <c r="DX11" i="2"/>
  <c r="DW11" i="2"/>
  <c r="DX10" i="2"/>
  <c r="DW10" i="2"/>
  <c r="DY10" i="2" s="1"/>
  <c r="DZ10" i="2" s="1"/>
  <c r="DX9" i="2"/>
  <c r="DW9" i="2"/>
  <c r="DY9" i="2" s="1"/>
  <c r="DZ9" i="2" s="1"/>
  <c r="DX8" i="2"/>
  <c r="DW8" i="2"/>
  <c r="DX7" i="2"/>
  <c r="DW7" i="2"/>
  <c r="DX6" i="2"/>
  <c r="DW6" i="2"/>
  <c r="DX5" i="2"/>
  <c r="DW5" i="2"/>
  <c r="DT27" i="2"/>
  <c r="DS27" i="2"/>
  <c r="DS21" i="2"/>
  <c r="DT21" i="2"/>
  <c r="DT17" i="2"/>
  <c r="DS17" i="2"/>
  <c r="DT16" i="2"/>
  <c r="DS16" i="2"/>
  <c r="DO34" i="2"/>
  <c r="DP34" i="2"/>
  <c r="DP30" i="2"/>
  <c r="DO30" i="2"/>
  <c r="DO24" i="2"/>
  <c r="DO23" i="2"/>
  <c r="DQ23" i="2" s="1"/>
  <c r="DR23" i="2" s="1"/>
  <c r="DO22" i="2"/>
  <c r="DO21" i="2"/>
  <c r="DO19" i="2"/>
  <c r="DP16" i="2"/>
  <c r="DP24" i="2"/>
  <c r="DP23" i="2"/>
  <c r="DP22" i="2"/>
  <c r="DP21" i="2"/>
  <c r="DP19" i="2"/>
  <c r="DL34" i="2"/>
  <c r="DK34" i="2"/>
  <c r="DL32" i="2"/>
  <c r="DK32" i="2"/>
  <c r="DL30" i="2"/>
  <c r="DK30" i="2"/>
  <c r="DL24" i="2"/>
  <c r="DK24" i="2"/>
  <c r="DL23" i="2"/>
  <c r="DK23" i="2"/>
  <c r="DM23" i="2" s="1"/>
  <c r="DN23" i="2" s="1"/>
  <c r="DL22" i="2"/>
  <c r="DK22" i="2"/>
  <c r="DL21" i="2"/>
  <c r="DK21" i="2"/>
  <c r="DL19" i="2"/>
  <c r="DK19" i="2"/>
  <c r="DG34" i="2"/>
  <c r="DH34" i="2"/>
  <c r="DH32" i="2"/>
  <c r="DG32" i="2"/>
  <c r="DI32" i="2" s="1"/>
  <c r="DJ32" i="2" s="1"/>
  <c r="DH31" i="2"/>
  <c r="DG31" i="2"/>
  <c r="DH30" i="2"/>
  <c r="DG30" i="2"/>
  <c r="DI30" i="2" s="1"/>
  <c r="DJ30" i="2" s="1"/>
  <c r="DH24" i="2"/>
  <c r="DG24" i="2"/>
  <c r="DH23" i="2"/>
  <c r="DG23" i="2"/>
  <c r="DH22" i="2"/>
  <c r="DG22" i="2"/>
  <c r="DH21" i="2"/>
  <c r="DG21" i="2"/>
  <c r="DH19" i="2"/>
  <c r="DG19" i="2"/>
  <c r="DH16" i="2"/>
  <c r="DG16" i="2"/>
  <c r="DI16" i="2" s="1"/>
  <c r="DJ16" i="2" s="1"/>
  <c r="DH12" i="2"/>
  <c r="DG12" i="2"/>
  <c r="DH9" i="2"/>
  <c r="DG9" i="2"/>
  <c r="DC34" i="2"/>
  <c r="DD34" i="2"/>
  <c r="DD30" i="2"/>
  <c r="DC30" i="2"/>
  <c r="DD24" i="2"/>
  <c r="DC24" i="2"/>
  <c r="DD23" i="2"/>
  <c r="DC23" i="2"/>
  <c r="DE23" i="2" s="1"/>
  <c r="DF23" i="2" s="1"/>
  <c r="DC22" i="2"/>
  <c r="DD22" i="2"/>
  <c r="DD21" i="2"/>
  <c r="DC21" i="2"/>
  <c r="DD19" i="2"/>
  <c r="DC19" i="2"/>
  <c r="DD16" i="2"/>
  <c r="DC16" i="2"/>
  <c r="CZ35" i="2"/>
  <c r="CY35" i="2"/>
  <c r="CZ33" i="2"/>
  <c r="CY33" i="2"/>
  <c r="CZ28" i="2"/>
  <c r="CY28" i="2"/>
  <c r="CZ25" i="2"/>
  <c r="CY25" i="2"/>
  <c r="CZ24" i="2"/>
  <c r="CY24" i="2"/>
  <c r="CZ16" i="2"/>
  <c r="CY16" i="2"/>
  <c r="CZ11" i="2"/>
  <c r="CY11" i="2"/>
  <c r="CV35" i="2"/>
  <c r="CU35" i="2"/>
  <c r="CV31" i="2"/>
  <c r="CU31" i="2"/>
  <c r="CV28" i="2"/>
  <c r="CU28" i="2"/>
  <c r="CV26" i="2"/>
  <c r="CU26" i="2"/>
  <c r="CV24" i="2"/>
  <c r="CU24" i="2"/>
  <c r="CV22" i="2"/>
  <c r="CU22" i="2"/>
  <c r="CV21" i="2"/>
  <c r="CU21" i="2"/>
  <c r="CU18" i="2"/>
  <c r="CV18" i="2"/>
  <c r="CV17" i="2"/>
  <c r="CU17" i="2"/>
  <c r="CV15" i="2"/>
  <c r="CU15" i="2"/>
  <c r="CV14" i="2"/>
  <c r="CU14" i="2"/>
  <c r="CV11" i="2"/>
  <c r="CU11" i="2"/>
  <c r="CQ27" i="2"/>
  <c r="CR27" i="2"/>
  <c r="CQ25" i="2"/>
  <c r="CR25" i="2"/>
  <c r="CR14" i="2"/>
  <c r="CQ14" i="2"/>
  <c r="CR13" i="2"/>
  <c r="CQ13" i="2"/>
  <c r="CR10" i="2"/>
  <c r="CQ10" i="2"/>
  <c r="CR9" i="2"/>
  <c r="CQ9" i="2"/>
  <c r="CR8" i="2"/>
  <c r="CQ8" i="2"/>
  <c r="CR6" i="2"/>
  <c r="CQ6" i="2"/>
  <c r="CR5" i="2"/>
  <c r="CQ5" i="2"/>
  <c r="CN33" i="2"/>
  <c r="CM33" i="2"/>
  <c r="CN25" i="2"/>
  <c r="CM25" i="2"/>
  <c r="CN24" i="2"/>
  <c r="CM24" i="2"/>
  <c r="CN18" i="2"/>
  <c r="CM18" i="2"/>
  <c r="CJ35" i="2"/>
  <c r="CI35" i="2"/>
  <c r="CJ33" i="2"/>
  <c r="CI33" i="2"/>
  <c r="CJ32" i="2"/>
  <c r="CI32" i="2"/>
  <c r="CJ24" i="2"/>
  <c r="CI24" i="2"/>
  <c r="CJ18" i="2"/>
  <c r="CI18" i="2"/>
  <c r="CJ9" i="2"/>
  <c r="CI9" i="2"/>
  <c r="CF35" i="2"/>
  <c r="CE35" i="2"/>
  <c r="CB35" i="2"/>
  <c r="CA35" i="2"/>
  <c r="CB25" i="2"/>
  <c r="CA25" i="2"/>
  <c r="CB24" i="2"/>
  <c r="CA24" i="2"/>
  <c r="BX23" i="2"/>
  <c r="BW23" i="2"/>
  <c r="BX21" i="2"/>
  <c r="BW21" i="2"/>
  <c r="BT23" i="2"/>
  <c r="BS23" i="2"/>
  <c r="BT16" i="2"/>
  <c r="BS16" i="2"/>
  <c r="BT11" i="2"/>
  <c r="BS11" i="2"/>
  <c r="BP38" i="2"/>
  <c r="BO38" i="2"/>
  <c r="BP34" i="2"/>
  <c r="BO34" i="2"/>
  <c r="BP25" i="2"/>
  <c r="BO25" i="2"/>
  <c r="BO22" i="2"/>
  <c r="BP22" i="2"/>
  <c r="BP15" i="2"/>
  <c r="BO15" i="2"/>
  <c r="BP12" i="2"/>
  <c r="BO12" i="2"/>
  <c r="BP7" i="2"/>
  <c r="BO7" i="2"/>
  <c r="BQ7" i="2" s="1"/>
  <c r="BR7" i="2" s="1"/>
  <c r="BP5" i="2"/>
  <c r="BO5" i="2"/>
  <c r="BL25" i="2"/>
  <c r="BK25" i="2"/>
  <c r="BK14" i="2"/>
  <c r="BL14" i="2"/>
  <c r="BH32" i="2"/>
  <c r="BG32" i="2"/>
  <c r="BH29" i="2"/>
  <c r="BG29" i="2"/>
  <c r="BH16" i="2"/>
  <c r="BG16" i="2"/>
  <c r="BC33" i="2"/>
  <c r="BD33" i="2"/>
  <c r="BD32" i="2"/>
  <c r="BC32" i="2"/>
  <c r="BD29" i="2"/>
  <c r="BC29" i="2"/>
  <c r="BD22" i="2"/>
  <c r="BC22" i="2"/>
  <c r="BD19" i="2"/>
  <c r="BC19" i="2"/>
  <c r="BD18" i="2"/>
  <c r="BC18" i="2"/>
  <c r="BE18" i="2" s="1"/>
  <c r="BF18" i="2" s="1"/>
  <c r="BD17" i="2"/>
  <c r="BC17" i="2"/>
  <c r="BC16" i="2"/>
  <c r="BD16" i="2"/>
  <c r="BD14" i="2"/>
  <c r="BC14" i="2"/>
  <c r="BD13" i="2"/>
  <c r="BC13" i="2"/>
  <c r="BD10" i="2"/>
  <c r="BC10" i="2"/>
  <c r="BD9" i="2"/>
  <c r="BC9" i="2"/>
  <c r="BE9" i="2" s="1"/>
  <c r="BF9" i="2" s="1"/>
  <c r="BD8" i="2"/>
  <c r="BC8" i="2"/>
  <c r="BD7" i="2"/>
  <c r="BC7" i="2"/>
  <c r="BC5" i="2"/>
  <c r="BD5" i="2"/>
  <c r="AZ33" i="2"/>
  <c r="AY33" i="2"/>
  <c r="AZ32" i="2"/>
  <c r="AY32" i="2"/>
  <c r="AZ31" i="2"/>
  <c r="AY31" i="2"/>
  <c r="BA31" i="2" s="1"/>
  <c r="BB31" i="2" s="1"/>
  <c r="AZ29" i="2"/>
  <c r="AY29" i="2"/>
  <c r="AZ27" i="2"/>
  <c r="AY27" i="2"/>
  <c r="AZ23" i="2"/>
  <c r="AY23" i="2"/>
  <c r="AZ21" i="2"/>
  <c r="AY21" i="2"/>
  <c r="AZ20" i="2"/>
  <c r="AY20" i="2"/>
  <c r="AZ16" i="2"/>
  <c r="AY16" i="2"/>
  <c r="BA16" i="2" s="1"/>
  <c r="BB16" i="2" s="1"/>
  <c r="AZ13" i="2"/>
  <c r="AY13" i="2"/>
  <c r="AZ9" i="2"/>
  <c r="AY9" i="2"/>
  <c r="AZ5" i="2"/>
  <c r="AY5" i="2"/>
  <c r="BE19" i="2" l="1"/>
  <c r="BF19" i="2" s="1"/>
  <c r="CC25" i="2"/>
  <c r="CD25" i="2" s="1"/>
  <c r="CS13" i="2"/>
  <c r="CT13" i="2" s="1"/>
  <c r="CW26" i="2"/>
  <c r="CX26" i="2" s="1"/>
  <c r="DU16" i="2"/>
  <c r="DV16" i="2" s="1"/>
  <c r="DY13" i="2"/>
  <c r="DZ13" i="2" s="1"/>
  <c r="EG17" i="2"/>
  <c r="EH17" i="2" s="1"/>
  <c r="EK15" i="2"/>
  <c r="EL15" i="2" s="1"/>
  <c r="EW18" i="2"/>
  <c r="EX18" i="2" s="1"/>
  <c r="EW36" i="2"/>
  <c r="EX36" i="2" s="1"/>
  <c r="FA25" i="2"/>
  <c r="FB25" i="2" s="1"/>
  <c r="FE6" i="2"/>
  <c r="FF6" i="2" s="1"/>
  <c r="FE11" i="2"/>
  <c r="FF11" i="2" s="1"/>
  <c r="FE29" i="2"/>
  <c r="FF29" i="2" s="1"/>
  <c r="FM27" i="2"/>
  <c r="FN27" i="2" s="1"/>
  <c r="FM33" i="2"/>
  <c r="FN33" i="2" s="1"/>
  <c r="FQ25" i="2"/>
  <c r="FR25" i="2" s="1"/>
  <c r="FY24" i="2"/>
  <c r="FZ24" i="2" s="1"/>
  <c r="GC28" i="2"/>
  <c r="GD28" i="2" s="1"/>
  <c r="HQ34" i="2"/>
  <c r="HR34" i="2" s="1"/>
  <c r="HY5" i="2"/>
  <c r="HZ5" i="2" s="1"/>
  <c r="HY11" i="2"/>
  <c r="HZ11" i="2" s="1"/>
  <c r="HY18" i="2"/>
  <c r="HZ18" i="2" s="1"/>
  <c r="HY26" i="2"/>
  <c r="HZ26" i="2" s="1"/>
  <c r="IC27" i="2"/>
  <c r="ID27" i="2" s="1"/>
  <c r="IC33" i="2"/>
  <c r="ID33" i="2" s="1"/>
  <c r="IG25" i="2"/>
  <c r="IH25" i="2" s="1"/>
  <c r="IG31" i="2"/>
  <c r="IH31" i="2" s="1"/>
  <c r="FU35" i="2"/>
  <c r="FV35" i="2" s="1"/>
  <c r="GW28" i="2"/>
  <c r="GX28" i="2" s="1"/>
  <c r="HE25" i="2"/>
  <c r="HF25" i="2" s="1"/>
  <c r="HQ15" i="2"/>
  <c r="HR15" i="2" s="1"/>
  <c r="HY19" i="2"/>
  <c r="HZ19" i="2" s="1"/>
  <c r="GW31" i="2"/>
  <c r="GX31" i="2" s="1"/>
  <c r="IC23" i="2"/>
  <c r="ID23" i="2" s="1"/>
  <c r="IC29" i="2"/>
  <c r="ID29" i="2" s="1"/>
  <c r="IC35" i="2"/>
  <c r="ID35" i="2" s="1"/>
  <c r="GW32" i="2"/>
  <c r="GX32" i="2" s="1"/>
  <c r="HA7" i="2"/>
  <c r="HB7" i="2" s="1"/>
  <c r="HA22" i="2"/>
  <c r="HB22" i="2" s="1"/>
  <c r="HA29" i="2"/>
  <c r="HB29" i="2" s="1"/>
  <c r="HM22" i="2"/>
  <c r="HN22" i="2" s="1"/>
  <c r="HQ28" i="2"/>
  <c r="HR28" i="2" s="1"/>
  <c r="FE20" i="2"/>
  <c r="FF20" i="2" s="1"/>
  <c r="FY33" i="2"/>
  <c r="FZ33" i="2" s="1"/>
  <c r="GW22" i="2"/>
  <c r="GX22" i="2" s="1"/>
  <c r="HA15" i="2"/>
  <c r="HB15" i="2" s="1"/>
  <c r="HE35" i="2"/>
  <c r="HF35" i="2" s="1"/>
  <c r="HQ29" i="2"/>
  <c r="HR29" i="2" s="1"/>
  <c r="HY15" i="2"/>
  <c r="HZ15" i="2" s="1"/>
  <c r="HY24" i="2"/>
  <c r="HZ24" i="2" s="1"/>
  <c r="HY31" i="2"/>
  <c r="HZ31" i="2" s="1"/>
  <c r="IG29" i="2"/>
  <c r="IH29" i="2" s="1"/>
  <c r="DQ21" i="2"/>
  <c r="DR21" i="2" s="1"/>
  <c r="HQ8" i="2"/>
  <c r="HR8" i="2" s="1"/>
  <c r="HY16" i="2"/>
  <c r="HZ16" i="2" s="1"/>
  <c r="GW35" i="2"/>
  <c r="GX35" i="2" s="1"/>
  <c r="HA32" i="2"/>
  <c r="HB32" i="2" s="1"/>
  <c r="HQ31" i="2"/>
  <c r="HR31" i="2" s="1"/>
  <c r="HY40" i="2"/>
  <c r="HZ40" i="2" s="1"/>
  <c r="IG38" i="2"/>
  <c r="IH38" i="2" s="1"/>
  <c r="IG35" i="2"/>
  <c r="IH35" i="2" s="1"/>
  <c r="IG16" i="2"/>
  <c r="IH16" i="2" s="1"/>
  <c r="IG14" i="2"/>
  <c r="IH14" i="2" s="1"/>
  <c r="IC38" i="2"/>
  <c r="ID38" i="2" s="1"/>
  <c r="IC21" i="2"/>
  <c r="ID21" i="2" s="1"/>
  <c r="IC16" i="2"/>
  <c r="ID16" i="2" s="1"/>
  <c r="IC13" i="2"/>
  <c r="ID13" i="2" s="1"/>
  <c r="HY33" i="2"/>
  <c r="HZ33" i="2" s="1"/>
  <c r="HU25" i="2"/>
  <c r="HV25" i="2" s="1"/>
  <c r="HU22" i="2"/>
  <c r="HV22" i="2" s="1"/>
  <c r="HQ24" i="2"/>
  <c r="HR24" i="2" s="1"/>
  <c r="HQ21" i="2"/>
  <c r="HR21" i="2" s="1"/>
  <c r="HQ17" i="2"/>
  <c r="HR17" i="2" s="1"/>
  <c r="HQ10" i="2"/>
  <c r="HR10" i="2" s="1"/>
  <c r="HQ5" i="2"/>
  <c r="HR5" i="2" s="1"/>
  <c r="HM25" i="2"/>
  <c r="HN25" i="2" s="1"/>
  <c r="HI25" i="2"/>
  <c r="HJ25" i="2" s="1"/>
  <c r="HI14" i="2"/>
  <c r="HJ14" i="2" s="1"/>
  <c r="HI17" i="2"/>
  <c r="HJ17" i="2" s="1"/>
  <c r="HE32" i="2"/>
  <c r="HF32" i="2" s="1"/>
  <c r="HE20" i="2"/>
  <c r="HF20" i="2" s="1"/>
  <c r="HE17" i="2"/>
  <c r="HF17" i="2" s="1"/>
  <c r="HA17" i="2"/>
  <c r="HB17" i="2" s="1"/>
  <c r="HA10" i="2"/>
  <c r="HB10" i="2" s="1"/>
  <c r="HA5" i="2"/>
  <c r="HB5" i="2" s="1"/>
  <c r="FE26" i="2"/>
  <c r="FF26" i="2" s="1"/>
  <c r="FE32" i="2"/>
  <c r="FF32" i="2" s="1"/>
  <c r="GG26" i="2"/>
  <c r="GH26" i="2" s="1"/>
  <c r="FE27" i="2"/>
  <c r="FF27" i="2" s="1"/>
  <c r="FE15" i="2"/>
  <c r="FF15" i="2" s="1"/>
  <c r="FM37" i="2"/>
  <c r="FN37" i="2" s="1"/>
  <c r="DQ34" i="2"/>
  <c r="DR34" i="2" s="1"/>
  <c r="DY6" i="2"/>
  <c r="DZ6" i="2" s="1"/>
  <c r="EW6" i="2"/>
  <c r="EX6" i="2" s="1"/>
  <c r="EW16" i="2"/>
  <c r="EX16" i="2" s="1"/>
  <c r="FM25" i="2"/>
  <c r="FN25" i="2" s="1"/>
  <c r="FM31" i="2"/>
  <c r="FN31" i="2" s="1"/>
  <c r="FQ29" i="2"/>
  <c r="FR29" i="2" s="1"/>
  <c r="FU26" i="2"/>
  <c r="FV26" i="2" s="1"/>
  <c r="FU32" i="2"/>
  <c r="FV32" i="2" s="1"/>
  <c r="GK30" i="2"/>
  <c r="GL30" i="2" s="1"/>
  <c r="FQ30" i="2"/>
  <c r="FR30" i="2" s="1"/>
  <c r="FU27" i="2"/>
  <c r="FV27" i="2" s="1"/>
  <c r="FU33" i="2"/>
  <c r="FV33" i="2" s="1"/>
  <c r="FY28" i="2"/>
  <c r="FZ28" i="2" s="1"/>
  <c r="FY34" i="2"/>
  <c r="FZ34" i="2" s="1"/>
  <c r="GW24" i="2"/>
  <c r="GX24" i="2" s="1"/>
  <c r="FM16" i="2"/>
  <c r="FN16" i="2" s="1"/>
  <c r="GW33" i="2"/>
  <c r="GX33" i="2" s="1"/>
  <c r="GK26" i="2"/>
  <c r="GL26" i="2" s="1"/>
  <c r="FE23" i="2"/>
  <c r="FF23" i="2" s="1"/>
  <c r="FQ31" i="2"/>
  <c r="FR31" i="2" s="1"/>
  <c r="FU28" i="2"/>
  <c r="FV28" i="2" s="1"/>
  <c r="FU34" i="2"/>
  <c r="FV34" i="2" s="1"/>
  <c r="FY35" i="2"/>
  <c r="FZ35" i="2" s="1"/>
  <c r="GC27" i="2"/>
  <c r="GD27" i="2" s="1"/>
  <c r="FE12" i="2"/>
  <c r="FF12" i="2" s="1"/>
  <c r="FM34" i="2"/>
  <c r="FN34" i="2" s="1"/>
  <c r="CS9" i="2"/>
  <c r="CT9" i="2" s="1"/>
  <c r="FY32" i="2"/>
  <c r="FZ32" i="2" s="1"/>
  <c r="CK35" i="2"/>
  <c r="CL35" i="2" s="1"/>
  <c r="DI24" i="2"/>
  <c r="DJ24" i="2" s="1"/>
  <c r="DU21" i="2"/>
  <c r="DV21" i="2" s="1"/>
  <c r="EW11" i="2"/>
  <c r="EX11" i="2" s="1"/>
  <c r="FU29" i="2"/>
  <c r="FV29" i="2" s="1"/>
  <c r="FY22" i="2"/>
  <c r="FZ22" i="2" s="1"/>
  <c r="FY26" i="2"/>
  <c r="FZ26" i="2" s="1"/>
  <c r="FE8" i="2"/>
  <c r="FF8" i="2" s="1"/>
  <c r="FE14" i="2"/>
  <c r="FF14" i="2" s="1"/>
  <c r="FM24" i="2"/>
  <c r="FN24" i="2" s="1"/>
  <c r="FM35" i="2"/>
  <c r="FN35" i="2" s="1"/>
  <c r="FQ27" i="2"/>
  <c r="FR27" i="2" s="1"/>
  <c r="FQ33" i="2"/>
  <c r="FR33" i="2" s="1"/>
  <c r="FU22" i="2"/>
  <c r="FV22" i="2" s="1"/>
  <c r="FU30" i="2"/>
  <c r="FV30" i="2" s="1"/>
  <c r="FU37" i="2"/>
  <c r="FV37" i="2" s="1"/>
  <c r="FY25" i="2"/>
  <c r="FZ25" i="2" s="1"/>
  <c r="FY31" i="2"/>
  <c r="FZ31" i="2" s="1"/>
  <c r="GW18" i="2"/>
  <c r="GX18" i="2" s="1"/>
  <c r="GW19" i="2"/>
  <c r="GX19" i="2" s="1"/>
  <c r="GW16" i="2"/>
  <c r="GX16" i="2" s="1"/>
  <c r="GW15" i="2"/>
  <c r="GX15" i="2" s="1"/>
  <c r="GW7" i="2"/>
  <c r="GX7" i="2" s="1"/>
  <c r="GK22" i="2"/>
  <c r="GL22" i="2" s="1"/>
  <c r="GG18" i="2"/>
  <c r="GH18" i="2" s="1"/>
  <c r="GG16" i="2"/>
  <c r="GH16" i="2" s="1"/>
  <c r="GG13" i="2"/>
  <c r="GH13" i="2" s="1"/>
  <c r="GG10" i="2"/>
  <c r="GH10" i="2" s="1"/>
  <c r="GC29" i="2"/>
  <c r="GD29" i="2" s="1"/>
  <c r="GC26" i="2"/>
  <c r="GD26" i="2" s="1"/>
  <c r="GC17" i="2"/>
  <c r="GD17" i="2" s="1"/>
  <c r="GC10" i="2"/>
  <c r="GD10" i="2" s="1"/>
  <c r="FY16" i="2"/>
  <c r="FZ16" i="2" s="1"/>
  <c r="FY14" i="2"/>
  <c r="FZ14" i="2" s="1"/>
  <c r="FU17" i="2"/>
  <c r="FV17" i="2" s="1"/>
  <c r="FU16" i="2"/>
  <c r="FV16" i="2" s="1"/>
  <c r="FU14" i="2"/>
  <c r="FV14" i="2" s="1"/>
  <c r="FQ24" i="2"/>
  <c r="FR24" i="2" s="1"/>
  <c r="DE24" i="2"/>
  <c r="DF24" i="2" s="1"/>
  <c r="DI31" i="2"/>
  <c r="DJ31" i="2" s="1"/>
  <c r="DM22" i="2"/>
  <c r="DN22" i="2" s="1"/>
  <c r="DQ24" i="2"/>
  <c r="DR24" i="2" s="1"/>
  <c r="FE28" i="2"/>
  <c r="FF28" i="2" s="1"/>
  <c r="EW13" i="2"/>
  <c r="EX13" i="2" s="1"/>
  <c r="CK24" i="2"/>
  <c r="CL24" i="2" s="1"/>
  <c r="CW24" i="2"/>
  <c r="CX24" i="2" s="1"/>
  <c r="DY17" i="2"/>
  <c r="DZ17" i="2" s="1"/>
  <c r="EK20" i="2"/>
  <c r="EL20" i="2" s="1"/>
  <c r="EK32" i="2"/>
  <c r="EL32" i="2" s="1"/>
  <c r="FM26" i="2"/>
  <c r="FN26" i="2" s="1"/>
  <c r="FM32" i="2"/>
  <c r="FN32" i="2" s="1"/>
  <c r="FE24" i="2"/>
  <c r="FF24" i="2" s="1"/>
  <c r="DE34" i="2"/>
  <c r="DF34" i="2" s="1"/>
  <c r="DI22" i="2"/>
  <c r="DJ22" i="2" s="1"/>
  <c r="EW34" i="2"/>
  <c r="EX34" i="2" s="1"/>
  <c r="FA30" i="2"/>
  <c r="FB30" i="2" s="1"/>
  <c r="FE9" i="2"/>
  <c r="FF9" i="2" s="1"/>
  <c r="FE25" i="2"/>
  <c r="FF25" i="2" s="1"/>
  <c r="BA33" i="2"/>
  <c r="BB33" i="2" s="1"/>
  <c r="BE13" i="2"/>
  <c r="BF13" i="2" s="1"/>
  <c r="CW17" i="2"/>
  <c r="CX17" i="2" s="1"/>
  <c r="DI9" i="2"/>
  <c r="DJ9" i="2" s="1"/>
  <c r="DI23" i="2"/>
  <c r="DJ23" i="2" s="1"/>
  <c r="DM16" i="2"/>
  <c r="DN16" i="2" s="1"/>
  <c r="DM30" i="2"/>
  <c r="DN30" i="2" s="1"/>
  <c r="DR16" i="2"/>
  <c r="EG13" i="2"/>
  <c r="EH13" i="2" s="1"/>
  <c r="FE10" i="2"/>
  <c r="FF10" i="2" s="1"/>
  <c r="FM28" i="2"/>
  <c r="FN28" i="2" s="1"/>
  <c r="FE18" i="2"/>
  <c r="FF18" i="2" s="1"/>
  <c r="BA23" i="2"/>
  <c r="BB23" i="2" s="1"/>
  <c r="BE14" i="2"/>
  <c r="BF14" i="2" s="1"/>
  <c r="CW31" i="2"/>
  <c r="CX31" i="2" s="1"/>
  <c r="DA28" i="2"/>
  <c r="DB28" i="2" s="1"/>
  <c r="DQ19" i="2"/>
  <c r="DR19" i="2" s="1"/>
  <c r="DY8" i="2"/>
  <c r="DZ8" i="2" s="1"/>
  <c r="EK24" i="2"/>
  <c r="EL24" i="2" s="1"/>
  <c r="FI26" i="2"/>
  <c r="FJ26" i="2" s="1"/>
  <c r="FA28" i="2"/>
  <c r="FB28" i="2" s="1"/>
  <c r="DM32" i="2"/>
  <c r="DN32" i="2" s="1"/>
  <c r="FE21" i="2"/>
  <c r="FF21" i="2" s="1"/>
  <c r="FM29" i="2"/>
  <c r="FN29" i="2" s="1"/>
  <c r="EC13" i="2"/>
  <c r="ED13" i="2" s="1"/>
  <c r="EW9" i="2"/>
  <c r="EX9" i="2" s="1"/>
  <c r="FE22" i="2"/>
  <c r="FF22" i="2" s="1"/>
  <c r="FM30" i="2"/>
  <c r="FN30" i="2" s="1"/>
  <c r="BE16" i="2"/>
  <c r="BF16" i="2" s="1"/>
  <c r="CS27" i="2"/>
  <c r="CT27" i="2" s="1"/>
  <c r="CW35" i="2"/>
  <c r="CX35" i="2" s="1"/>
  <c r="EC17" i="2"/>
  <c r="ED17" i="2" s="1"/>
  <c r="EG6" i="2"/>
  <c r="EH6" i="2" s="1"/>
  <c r="EG26" i="2"/>
  <c r="EH26" i="2" s="1"/>
  <c r="EK17" i="2"/>
  <c r="EL17" i="2" s="1"/>
  <c r="EK28" i="2"/>
  <c r="EL28" i="2" s="1"/>
  <c r="EO27" i="2"/>
  <c r="EP27" i="2" s="1"/>
  <c r="ES28" i="2"/>
  <c r="ET28" i="2" s="1"/>
  <c r="EW27" i="2"/>
  <c r="EX27" i="2" s="1"/>
  <c r="EW41" i="2"/>
  <c r="EX41" i="2" s="1"/>
  <c r="FA27" i="2"/>
  <c r="FB27" i="2" s="1"/>
  <c r="FE7" i="2"/>
  <c r="FF7" i="2" s="1"/>
  <c r="FE35" i="2"/>
  <c r="FF35" i="2" s="1"/>
  <c r="FM8" i="2"/>
  <c r="FN8" i="2" s="1"/>
  <c r="FM17" i="2"/>
  <c r="FN17" i="2" s="1"/>
  <c r="FM9" i="2"/>
  <c r="FN9" i="2" s="1"/>
  <c r="FM5" i="2"/>
  <c r="FN5" i="2" s="1"/>
  <c r="FI17" i="2"/>
  <c r="FJ17" i="2" s="1"/>
  <c r="FI14" i="2"/>
  <c r="FJ14" i="2" s="1"/>
  <c r="FI10" i="2"/>
  <c r="FJ10" i="2" s="1"/>
  <c r="FA22" i="2"/>
  <c r="FB22" i="2" s="1"/>
  <c r="FA17" i="2"/>
  <c r="FB17" i="2" s="1"/>
  <c r="FA10" i="2"/>
  <c r="FB10" i="2" s="1"/>
  <c r="EW38" i="2"/>
  <c r="EX38" i="2" s="1"/>
  <c r="EW29" i="2"/>
  <c r="EX29" i="2" s="1"/>
  <c r="EW7" i="2"/>
  <c r="EX7" i="2" s="1"/>
  <c r="ES23" i="2"/>
  <c r="ET23" i="2" s="1"/>
  <c r="ES21" i="2"/>
  <c r="ET21" i="2" s="1"/>
  <c r="ES20" i="2"/>
  <c r="ET20" i="2" s="1"/>
  <c r="EO25" i="2"/>
  <c r="EP25" i="2" s="1"/>
  <c r="EO22" i="2"/>
  <c r="EP22" i="2" s="1"/>
  <c r="EO15" i="2"/>
  <c r="EP15" i="2" s="1"/>
  <c r="EK21" i="2"/>
  <c r="EL21" i="2" s="1"/>
  <c r="EK13" i="2"/>
  <c r="EL13" i="2" s="1"/>
  <c r="EK11" i="2"/>
  <c r="EL11" i="2" s="1"/>
  <c r="EG21" i="2"/>
  <c r="EH21" i="2" s="1"/>
  <c r="EG9" i="2"/>
  <c r="EH9" i="2" s="1"/>
  <c r="EG7" i="2"/>
  <c r="EH7" i="2" s="1"/>
  <c r="EG5" i="2"/>
  <c r="EH5" i="2" s="1"/>
  <c r="EC40" i="2"/>
  <c r="ED40" i="2" s="1"/>
  <c r="EC34" i="2"/>
  <c r="ED34" i="2" s="1"/>
  <c r="EC26" i="2"/>
  <c r="ED26" i="2" s="1"/>
  <c r="EC9" i="2"/>
  <c r="ED9" i="2" s="1"/>
  <c r="EC7" i="2"/>
  <c r="ED7" i="2" s="1"/>
  <c r="EC5" i="2"/>
  <c r="ED5" i="2" s="1"/>
  <c r="CS8" i="2"/>
  <c r="CT8" i="2" s="1"/>
  <c r="CW21" i="2"/>
  <c r="CX21" i="2" s="1"/>
  <c r="DA33" i="2"/>
  <c r="DB33" i="2" s="1"/>
  <c r="BE8" i="2"/>
  <c r="BF8" i="2" s="1"/>
  <c r="BE17" i="2"/>
  <c r="BF17" i="2" s="1"/>
  <c r="DA35" i="2"/>
  <c r="DB35" i="2" s="1"/>
  <c r="DY7" i="2"/>
  <c r="DZ7" i="2" s="1"/>
  <c r="DY21" i="2"/>
  <c r="DZ21" i="2" s="1"/>
  <c r="BE29" i="2"/>
  <c r="BF29" i="2" s="1"/>
  <c r="DQ30" i="2"/>
  <c r="DR30" i="2" s="1"/>
  <c r="CW18" i="2"/>
  <c r="CX18" i="2" s="1"/>
  <c r="DI12" i="2"/>
  <c r="DJ12" i="2" s="1"/>
  <c r="DY11" i="2"/>
  <c r="DZ11" i="2" s="1"/>
  <c r="DY16" i="2"/>
  <c r="DZ16" i="2" s="1"/>
  <c r="DY27" i="2"/>
  <c r="DZ27" i="2" s="1"/>
  <c r="DY19" i="2"/>
  <c r="DZ19" i="2" s="1"/>
  <c r="DY5" i="2"/>
  <c r="DZ5" i="2" s="1"/>
  <c r="DU27" i="2"/>
  <c r="DV27" i="2" s="1"/>
  <c r="DU17" i="2"/>
  <c r="DV17" i="2" s="1"/>
  <c r="DQ22" i="2"/>
  <c r="DR22" i="2" s="1"/>
  <c r="DM34" i="2"/>
  <c r="DN34" i="2" s="1"/>
  <c r="DM24" i="2"/>
  <c r="DN24" i="2" s="1"/>
  <c r="DM21" i="2"/>
  <c r="DN21" i="2" s="1"/>
  <c r="DM19" i="2"/>
  <c r="DN19" i="2" s="1"/>
  <c r="DI34" i="2"/>
  <c r="DJ34" i="2" s="1"/>
  <c r="DI21" i="2"/>
  <c r="DJ21" i="2" s="1"/>
  <c r="DI19" i="2"/>
  <c r="DJ19" i="2" s="1"/>
  <c r="DE30" i="2"/>
  <c r="DF30" i="2" s="1"/>
  <c r="DE22" i="2"/>
  <c r="DF22" i="2" s="1"/>
  <c r="DE21" i="2"/>
  <c r="DF21" i="2" s="1"/>
  <c r="DE19" i="2"/>
  <c r="DF19" i="2" s="1"/>
  <c r="DE16" i="2"/>
  <c r="DF16" i="2" s="1"/>
  <c r="DA25" i="2"/>
  <c r="DB25" i="2" s="1"/>
  <c r="DA24" i="2"/>
  <c r="DB24" i="2" s="1"/>
  <c r="DA16" i="2"/>
  <c r="DB16" i="2" s="1"/>
  <c r="DA11" i="2"/>
  <c r="DB11" i="2" s="1"/>
  <c r="CW28" i="2"/>
  <c r="CX28" i="2" s="1"/>
  <c r="CW22" i="2"/>
  <c r="CX22" i="2" s="1"/>
  <c r="CW15" i="2"/>
  <c r="CX15" i="2" s="1"/>
  <c r="CW14" i="2"/>
  <c r="CX14" i="2" s="1"/>
  <c r="CW11" i="2"/>
  <c r="CX11" i="2" s="1"/>
  <c r="CS25" i="2"/>
  <c r="CT25" i="2" s="1"/>
  <c r="CS14" i="2"/>
  <c r="CT14" i="2" s="1"/>
  <c r="CS10" i="2"/>
  <c r="CT10" i="2" s="1"/>
  <c r="CS6" i="2"/>
  <c r="CT6" i="2" s="1"/>
  <c r="CS5" i="2"/>
  <c r="CT5" i="2" s="1"/>
  <c r="CO33" i="2"/>
  <c r="CP33" i="2" s="1"/>
  <c r="CO25" i="2"/>
  <c r="CP25" i="2" s="1"/>
  <c r="CO24" i="2"/>
  <c r="CP24" i="2" s="1"/>
  <c r="CO18" i="2"/>
  <c r="CP18" i="2" s="1"/>
  <c r="CK33" i="2"/>
  <c r="CL33" i="2" s="1"/>
  <c r="CK32" i="2"/>
  <c r="CL32" i="2" s="1"/>
  <c r="CK18" i="2"/>
  <c r="CL18" i="2" s="1"/>
  <c r="CK9" i="2"/>
  <c r="CL9" i="2" s="1"/>
  <c r="BA27" i="2"/>
  <c r="BB27" i="2" s="1"/>
  <c r="BE32" i="2"/>
  <c r="BF32" i="2" s="1"/>
  <c r="BA29" i="2"/>
  <c r="BB29" i="2" s="1"/>
  <c r="BA32" i="2"/>
  <c r="BB32" i="2" s="1"/>
  <c r="BQ22" i="2"/>
  <c r="BR22" i="2" s="1"/>
  <c r="CG35" i="2"/>
  <c r="CH35" i="2" s="1"/>
  <c r="CC35" i="2"/>
  <c r="CD35" i="2" s="1"/>
  <c r="CC24" i="2"/>
  <c r="CD24" i="2" s="1"/>
  <c r="BY23" i="2"/>
  <c r="BZ23" i="2" s="1"/>
  <c r="BY21" i="2"/>
  <c r="BZ21" i="2" s="1"/>
  <c r="BU23" i="2"/>
  <c r="BV23" i="2" s="1"/>
  <c r="BU16" i="2"/>
  <c r="BV16" i="2" s="1"/>
  <c r="BU11" i="2"/>
  <c r="BV11" i="2" s="1"/>
  <c r="BQ38" i="2"/>
  <c r="BR38" i="2" s="1"/>
  <c r="BQ34" i="2"/>
  <c r="BR34" i="2" s="1"/>
  <c r="BQ25" i="2"/>
  <c r="BR25" i="2" s="1"/>
  <c r="BQ15" i="2"/>
  <c r="BR15" i="2" s="1"/>
  <c r="BQ12" i="2"/>
  <c r="BR12" i="2" s="1"/>
  <c r="BQ5" i="2"/>
  <c r="BR5" i="2" s="1"/>
  <c r="BM25" i="2"/>
  <c r="BN25" i="2" s="1"/>
  <c r="BM14" i="2"/>
  <c r="BN14" i="2" s="1"/>
  <c r="BI32" i="2"/>
  <c r="BJ32" i="2" s="1"/>
  <c r="BI29" i="2"/>
  <c r="BJ29" i="2" s="1"/>
  <c r="BI16" i="2"/>
  <c r="BJ16" i="2" s="1"/>
  <c r="BE33" i="2"/>
  <c r="BF33" i="2" s="1"/>
  <c r="BE22" i="2"/>
  <c r="BF22" i="2" s="1"/>
  <c r="BE10" i="2"/>
  <c r="BF10" i="2" s="1"/>
  <c r="BE7" i="2"/>
  <c r="BF7" i="2" s="1"/>
  <c r="BE5" i="2"/>
  <c r="BF5" i="2" s="1"/>
  <c r="BA21" i="2"/>
  <c r="BB21" i="2" s="1"/>
  <c r="BA20" i="2"/>
  <c r="BB20" i="2" s="1"/>
  <c r="BA13" i="2"/>
  <c r="BB13" i="2" s="1"/>
  <c r="BA9" i="2"/>
  <c r="BB9" i="2" s="1"/>
  <c r="BA5" i="2"/>
  <c r="BB5" i="2" s="1"/>
  <c r="AX2" i="1" l="1"/>
  <c r="BD2" i="1"/>
  <c r="BE42" i="1"/>
  <c r="BD42" i="1"/>
  <c r="BE41" i="1"/>
  <c r="BD41" i="1"/>
  <c r="BE40" i="1"/>
  <c r="BD40" i="1"/>
  <c r="BE39" i="1"/>
  <c r="BD39" i="1"/>
  <c r="BE38" i="1"/>
  <c r="BD38" i="1"/>
  <c r="BE37" i="1"/>
  <c r="BD37" i="1"/>
  <c r="BE36" i="1"/>
  <c r="BD36" i="1"/>
  <c r="BE35" i="1"/>
  <c r="BD35" i="1"/>
  <c r="BE34" i="1"/>
  <c r="BD34" i="1"/>
  <c r="BE33" i="1"/>
  <c r="BD33" i="1"/>
  <c r="BE32" i="1"/>
  <c r="BD32" i="1"/>
  <c r="BE31" i="1"/>
  <c r="BD31" i="1"/>
  <c r="BE30" i="1"/>
  <c r="BD30" i="1"/>
  <c r="BE29" i="1"/>
  <c r="BD29" i="1"/>
  <c r="BE28" i="1"/>
  <c r="BD28" i="1"/>
  <c r="BE27" i="1"/>
  <c r="BD27" i="1"/>
  <c r="BE26" i="1"/>
  <c r="BD26" i="1"/>
  <c r="BE25" i="1"/>
  <c r="BD25" i="1"/>
  <c r="BE24" i="1"/>
  <c r="BD24" i="1"/>
  <c r="BE23" i="1"/>
  <c r="BD23" i="1"/>
  <c r="BE22" i="1"/>
  <c r="BD22" i="1"/>
  <c r="BE21" i="1"/>
  <c r="BD21" i="1"/>
  <c r="BE20" i="1"/>
  <c r="BD20" i="1"/>
  <c r="BE19" i="1"/>
  <c r="BD19" i="1"/>
  <c r="BE18" i="1"/>
  <c r="BD18" i="1"/>
  <c r="BE17" i="1"/>
  <c r="BD17" i="1"/>
  <c r="BE16" i="1"/>
  <c r="BD16" i="1"/>
  <c r="BE15" i="1"/>
  <c r="BD15" i="1"/>
  <c r="BE14" i="1"/>
  <c r="BD14" i="1"/>
  <c r="BE13" i="1"/>
  <c r="BD13" i="1"/>
  <c r="BE12" i="1"/>
  <c r="BD12" i="1"/>
  <c r="BE11" i="1"/>
  <c r="BD11" i="1"/>
  <c r="BE10" i="1"/>
  <c r="BD10" i="1"/>
  <c r="BE9" i="1"/>
  <c r="BD9" i="1"/>
  <c r="BE8" i="1"/>
  <c r="BD8" i="1"/>
  <c r="BE7" i="1"/>
  <c r="BD7" i="1"/>
  <c r="BE6" i="1"/>
  <c r="BD6" i="1"/>
  <c r="BE5" i="1"/>
  <c r="BD5" i="1"/>
  <c r="B2" i="1" l="1"/>
  <c r="C2" i="1"/>
  <c r="BF2" i="1"/>
  <c r="I2" i="1"/>
  <c r="H2" i="1"/>
  <c r="BE2" i="1" s="1"/>
  <c r="G2" i="1"/>
  <c r="BJ5" i="1"/>
  <c r="CA5" i="1" l="1"/>
  <c r="CH42" i="1"/>
  <c r="CG42" i="1"/>
  <c r="CF42" i="1"/>
  <c r="CE42" i="1"/>
  <c r="CD42" i="1"/>
  <c r="CC42" i="1"/>
  <c r="CB42" i="1"/>
  <c r="CA42" i="1"/>
  <c r="BZ42" i="1"/>
  <c r="CH41" i="1"/>
  <c r="CG41" i="1"/>
  <c r="CF41" i="1"/>
  <c r="CE41" i="1"/>
  <c r="CD41" i="1"/>
  <c r="CC41" i="1"/>
  <c r="CB41" i="1"/>
  <c r="CA41" i="1"/>
  <c r="BZ41" i="1"/>
  <c r="CH40" i="1"/>
  <c r="CG40" i="1"/>
  <c r="CF40" i="1"/>
  <c r="CE40" i="1"/>
  <c r="CD40" i="1"/>
  <c r="CC40" i="1"/>
  <c r="CB40" i="1"/>
  <c r="CA40" i="1"/>
  <c r="BZ40" i="1"/>
  <c r="CH39" i="1"/>
  <c r="CG39" i="1"/>
  <c r="CF39" i="1"/>
  <c r="CE39" i="1"/>
  <c r="CD39" i="1"/>
  <c r="CC39" i="1"/>
  <c r="CB39" i="1"/>
  <c r="CA39" i="1"/>
  <c r="BZ39" i="1"/>
  <c r="CH38" i="1"/>
  <c r="CG38" i="1"/>
  <c r="CF38" i="1"/>
  <c r="CE38" i="1"/>
  <c r="CD38" i="1"/>
  <c r="CC38" i="1"/>
  <c r="CB38" i="1"/>
  <c r="CA38" i="1"/>
  <c r="BZ38" i="1"/>
  <c r="CH37" i="1"/>
  <c r="CG37" i="1"/>
  <c r="CF37" i="1"/>
  <c r="CE37" i="1"/>
  <c r="CD37" i="1"/>
  <c r="CC37" i="1"/>
  <c r="CB37" i="1"/>
  <c r="CA37" i="1"/>
  <c r="BZ37" i="1"/>
  <c r="CH36" i="1"/>
  <c r="CG36" i="1"/>
  <c r="CF36" i="1"/>
  <c r="CE36" i="1"/>
  <c r="CD36" i="1"/>
  <c r="CC36" i="1"/>
  <c r="CB36" i="1"/>
  <c r="CA36" i="1"/>
  <c r="BZ36" i="1"/>
  <c r="CH35" i="1"/>
  <c r="CG35" i="1"/>
  <c r="CF35" i="1"/>
  <c r="CE35" i="1"/>
  <c r="CD35" i="1"/>
  <c r="CC35" i="1"/>
  <c r="CB35" i="1"/>
  <c r="CA35" i="1"/>
  <c r="BZ35" i="1"/>
  <c r="CH34" i="1"/>
  <c r="CG34" i="1"/>
  <c r="CF34" i="1"/>
  <c r="CE34" i="1"/>
  <c r="CD34" i="1"/>
  <c r="CC34" i="1"/>
  <c r="CB34" i="1"/>
  <c r="CA34" i="1"/>
  <c r="BZ34" i="1"/>
  <c r="CH33" i="1"/>
  <c r="CG33" i="1"/>
  <c r="CF33" i="1"/>
  <c r="CE33" i="1"/>
  <c r="CD33" i="1"/>
  <c r="CC33" i="1"/>
  <c r="CB33" i="1"/>
  <c r="CA33" i="1"/>
  <c r="BZ33" i="1"/>
  <c r="CH32" i="1"/>
  <c r="CG32" i="1"/>
  <c r="CF32" i="1"/>
  <c r="CE32" i="1"/>
  <c r="CD32" i="1"/>
  <c r="CC32" i="1"/>
  <c r="CB32" i="1"/>
  <c r="CA32" i="1"/>
  <c r="BZ32" i="1"/>
  <c r="CH31" i="1"/>
  <c r="CG31" i="1"/>
  <c r="CF31" i="1"/>
  <c r="CE31" i="1"/>
  <c r="CD31" i="1"/>
  <c r="CC31" i="1"/>
  <c r="CB31" i="1"/>
  <c r="CA31" i="1"/>
  <c r="BZ31" i="1"/>
  <c r="CH30" i="1"/>
  <c r="CG30" i="1"/>
  <c r="CF30" i="1"/>
  <c r="CE30" i="1"/>
  <c r="CD30" i="1"/>
  <c r="CC30" i="1"/>
  <c r="CB30" i="1"/>
  <c r="CA30" i="1"/>
  <c r="BZ30" i="1"/>
  <c r="CH29" i="1"/>
  <c r="CG29" i="1"/>
  <c r="CF29" i="1"/>
  <c r="CE29" i="1"/>
  <c r="CD29" i="1"/>
  <c r="CC29" i="1"/>
  <c r="CB29" i="1"/>
  <c r="CA29" i="1"/>
  <c r="BZ29" i="1"/>
  <c r="CH28" i="1"/>
  <c r="CG28" i="1"/>
  <c r="CF28" i="1"/>
  <c r="CE28" i="1"/>
  <c r="CD28" i="1"/>
  <c r="CC28" i="1"/>
  <c r="CB28" i="1"/>
  <c r="CA28" i="1"/>
  <c r="BZ28" i="1"/>
  <c r="CH27" i="1"/>
  <c r="CG27" i="1"/>
  <c r="CF27" i="1"/>
  <c r="CE27" i="1"/>
  <c r="CD27" i="1"/>
  <c r="CC27" i="1"/>
  <c r="CB27" i="1"/>
  <c r="CA27" i="1"/>
  <c r="BZ27" i="1"/>
  <c r="CH26" i="1"/>
  <c r="CG26" i="1"/>
  <c r="CF26" i="1"/>
  <c r="CE26" i="1"/>
  <c r="CD26" i="1"/>
  <c r="CC26" i="1"/>
  <c r="CB26" i="1"/>
  <c r="CA26" i="1"/>
  <c r="BZ26" i="1"/>
  <c r="CH25" i="1"/>
  <c r="CG25" i="1"/>
  <c r="CF25" i="1"/>
  <c r="CE25" i="1"/>
  <c r="CD25" i="1"/>
  <c r="CC25" i="1"/>
  <c r="CB25" i="1"/>
  <c r="CA25" i="1"/>
  <c r="BZ25" i="1"/>
  <c r="CH24" i="1"/>
  <c r="CG24" i="1"/>
  <c r="CF24" i="1"/>
  <c r="CE24" i="1"/>
  <c r="CD24" i="1"/>
  <c r="CC24" i="1"/>
  <c r="CB24" i="1"/>
  <c r="CA24" i="1"/>
  <c r="BZ24" i="1"/>
  <c r="CH23" i="1"/>
  <c r="CG23" i="1"/>
  <c r="CF23" i="1"/>
  <c r="CE23" i="1"/>
  <c r="CD23" i="1"/>
  <c r="CC23" i="1"/>
  <c r="CB23" i="1"/>
  <c r="CA23" i="1"/>
  <c r="BZ23" i="1"/>
  <c r="CH22" i="1"/>
  <c r="CG22" i="1"/>
  <c r="CF22" i="1"/>
  <c r="CE22" i="1"/>
  <c r="CD22" i="1"/>
  <c r="CC22" i="1"/>
  <c r="CB22" i="1"/>
  <c r="CA22" i="1"/>
  <c r="BZ22" i="1"/>
  <c r="CH21" i="1"/>
  <c r="CG21" i="1"/>
  <c r="CF21" i="1"/>
  <c r="CE21" i="1"/>
  <c r="CD21" i="1"/>
  <c r="CC21" i="1"/>
  <c r="CB21" i="1"/>
  <c r="CA21" i="1"/>
  <c r="BZ21" i="1"/>
  <c r="CH20" i="1"/>
  <c r="CG20" i="1"/>
  <c r="CF20" i="1"/>
  <c r="CE20" i="1"/>
  <c r="CD20" i="1"/>
  <c r="CC20" i="1"/>
  <c r="CB20" i="1"/>
  <c r="CA20" i="1"/>
  <c r="BZ20" i="1"/>
  <c r="CH19" i="1"/>
  <c r="CG19" i="1"/>
  <c r="CF19" i="1"/>
  <c r="CE19" i="1"/>
  <c r="CD19" i="1"/>
  <c r="CC19" i="1"/>
  <c r="CB19" i="1"/>
  <c r="CA19" i="1"/>
  <c r="BZ19" i="1"/>
  <c r="CH18" i="1"/>
  <c r="CG18" i="1"/>
  <c r="CF18" i="1"/>
  <c r="CE18" i="1"/>
  <c r="CD18" i="1"/>
  <c r="CC18" i="1"/>
  <c r="CB18" i="1"/>
  <c r="CA18" i="1"/>
  <c r="BZ18" i="1"/>
  <c r="CH17" i="1"/>
  <c r="CG17" i="1"/>
  <c r="CF17" i="1"/>
  <c r="CE17" i="1"/>
  <c r="CD17" i="1"/>
  <c r="CC17" i="1"/>
  <c r="CB17" i="1"/>
  <c r="CA17" i="1"/>
  <c r="BZ17" i="1"/>
  <c r="CH16" i="1"/>
  <c r="CG16" i="1"/>
  <c r="CF16" i="1"/>
  <c r="CE16" i="1"/>
  <c r="CD16" i="1"/>
  <c r="CC16" i="1"/>
  <c r="CB16" i="1"/>
  <c r="CA16" i="1"/>
  <c r="BZ16" i="1"/>
  <c r="CH15" i="1"/>
  <c r="CG15" i="1"/>
  <c r="CF15" i="1"/>
  <c r="CE15" i="1"/>
  <c r="CD15" i="1"/>
  <c r="CC15" i="1"/>
  <c r="CB15" i="1"/>
  <c r="CA15" i="1"/>
  <c r="BZ15" i="1"/>
  <c r="CH14" i="1"/>
  <c r="CG14" i="1"/>
  <c r="CF14" i="1"/>
  <c r="CE14" i="1"/>
  <c r="CD14" i="1"/>
  <c r="CC14" i="1"/>
  <c r="CB14" i="1"/>
  <c r="CA14" i="1"/>
  <c r="BZ14" i="1"/>
  <c r="CH13" i="1"/>
  <c r="CG13" i="1"/>
  <c r="CF13" i="1"/>
  <c r="CE13" i="1"/>
  <c r="CD13" i="1"/>
  <c r="CC13" i="1"/>
  <c r="CB13" i="1"/>
  <c r="CA13" i="1"/>
  <c r="BZ13" i="1"/>
  <c r="CH12" i="1"/>
  <c r="CG12" i="1"/>
  <c r="CF12" i="1"/>
  <c r="CE12" i="1"/>
  <c r="CD12" i="1"/>
  <c r="CC12" i="1"/>
  <c r="CB12" i="1"/>
  <c r="CA12" i="1"/>
  <c r="BZ12" i="1"/>
  <c r="CH11" i="1"/>
  <c r="CG11" i="1"/>
  <c r="CF11" i="1"/>
  <c r="CE11" i="1"/>
  <c r="CD11" i="1"/>
  <c r="CC11" i="1"/>
  <c r="CB11" i="1"/>
  <c r="CA11" i="1"/>
  <c r="BZ11" i="1"/>
  <c r="CH10" i="1"/>
  <c r="CG10" i="1"/>
  <c r="CF10" i="1"/>
  <c r="CE10" i="1"/>
  <c r="CD10" i="1"/>
  <c r="CC10" i="1"/>
  <c r="CB10" i="1"/>
  <c r="CA10" i="1"/>
  <c r="BZ10" i="1"/>
  <c r="CH9" i="1"/>
  <c r="CG9" i="1"/>
  <c r="CF9" i="1"/>
  <c r="CE9" i="1"/>
  <c r="CD9" i="1"/>
  <c r="CC9" i="1"/>
  <c r="CB9" i="1"/>
  <c r="CA9" i="1"/>
  <c r="BZ9" i="1"/>
  <c r="CH8" i="1"/>
  <c r="CG8" i="1"/>
  <c r="CF8" i="1"/>
  <c r="CE8" i="1"/>
  <c r="CD8" i="1"/>
  <c r="CC8" i="1"/>
  <c r="CB8" i="1"/>
  <c r="CA8" i="1"/>
  <c r="BZ8" i="1"/>
  <c r="CH7" i="1"/>
  <c r="CG7" i="1"/>
  <c r="CF7" i="1"/>
  <c r="CE7" i="1"/>
  <c r="CD7" i="1"/>
  <c r="CC7" i="1"/>
  <c r="CB7" i="1"/>
  <c r="CA7" i="1"/>
  <c r="BZ7" i="1"/>
  <c r="CH6" i="1"/>
  <c r="CG6" i="1"/>
  <c r="CF6" i="1"/>
  <c r="CE6" i="1"/>
  <c r="CD6" i="1"/>
  <c r="CC6" i="1"/>
  <c r="CB6" i="1"/>
  <c r="CA6" i="1"/>
  <c r="BZ6" i="1"/>
  <c r="CH5" i="1"/>
  <c r="CG5" i="1"/>
  <c r="CF5" i="1"/>
  <c r="CE5" i="1"/>
  <c r="CD5" i="1"/>
  <c r="CC5" i="1"/>
  <c r="CB5" i="1"/>
  <c r="AJ2" i="1"/>
  <c r="AI2" i="1"/>
  <c r="AH2" i="1"/>
  <c r="AG2" i="1"/>
  <c r="AF2" i="1"/>
  <c r="AE2" i="1"/>
  <c r="AD2" i="1"/>
  <c r="CA2" i="1" l="1"/>
  <c r="CE2" i="1"/>
  <c r="CD2" i="1"/>
  <c r="CB2" i="1"/>
  <c r="CF2" i="1"/>
  <c r="CC2" i="1"/>
  <c r="BA5" i="1" l="1"/>
  <c r="AZ5" i="1"/>
  <c r="AY5" i="1"/>
  <c r="CT44" i="1"/>
  <c r="CS44" i="1"/>
  <c r="CR44" i="1"/>
  <c r="CQ44" i="1"/>
  <c r="CP44" i="1"/>
  <c r="CO44" i="1"/>
  <c r="CN44" i="1"/>
  <c r="CM44" i="1"/>
  <c r="CL44" i="1"/>
  <c r="CK44" i="1"/>
  <c r="CJ44" i="1"/>
  <c r="CI44" i="1"/>
  <c r="CH44" i="1"/>
  <c r="CG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C44" i="1"/>
  <c r="BB44" i="1"/>
  <c r="BA44" i="1"/>
  <c r="AZ44" i="1"/>
  <c r="AY44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G2" i="1" s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C43" i="1"/>
  <c r="BB43" i="1"/>
  <c r="BA43" i="1"/>
  <c r="AZ43" i="1"/>
  <c r="AY43" i="1"/>
  <c r="CT42" i="1"/>
  <c r="CS42" i="1"/>
  <c r="CR42" i="1"/>
  <c r="CQ42" i="1"/>
  <c r="CP42" i="1"/>
  <c r="CO42" i="1"/>
  <c r="CN42" i="1"/>
  <c r="CM42" i="1"/>
  <c r="CL42" i="1"/>
  <c r="CK42" i="1"/>
  <c r="CJ42" i="1"/>
  <c r="CI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C42" i="1"/>
  <c r="BB42" i="1"/>
  <c r="BA42" i="1"/>
  <c r="AZ42" i="1"/>
  <c r="AY42" i="1"/>
  <c r="CT41" i="1"/>
  <c r="CS41" i="1"/>
  <c r="CR41" i="1"/>
  <c r="CQ41" i="1"/>
  <c r="CP41" i="1"/>
  <c r="CO41" i="1"/>
  <c r="CN41" i="1"/>
  <c r="CM41" i="1"/>
  <c r="CL41" i="1"/>
  <c r="CK41" i="1"/>
  <c r="CJ41" i="1"/>
  <c r="CI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C41" i="1"/>
  <c r="BB41" i="1"/>
  <c r="BA41" i="1"/>
  <c r="AZ41" i="1"/>
  <c r="AY41" i="1"/>
  <c r="CT40" i="1"/>
  <c r="CS40" i="1"/>
  <c r="CR40" i="1"/>
  <c r="CQ40" i="1"/>
  <c r="CP40" i="1"/>
  <c r="CO40" i="1"/>
  <c r="CN40" i="1"/>
  <c r="CM40" i="1"/>
  <c r="CL40" i="1"/>
  <c r="CK40" i="1"/>
  <c r="CJ40" i="1"/>
  <c r="CI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C40" i="1"/>
  <c r="BB40" i="1"/>
  <c r="BA40" i="1"/>
  <c r="AZ40" i="1"/>
  <c r="AY40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C39" i="1"/>
  <c r="BB39" i="1"/>
  <c r="BA39" i="1"/>
  <c r="AZ39" i="1"/>
  <c r="AY39" i="1"/>
  <c r="CT38" i="1"/>
  <c r="CS38" i="1"/>
  <c r="CR38" i="1"/>
  <c r="CQ38" i="1"/>
  <c r="CP38" i="1"/>
  <c r="CO38" i="1"/>
  <c r="CN38" i="1"/>
  <c r="CM38" i="1"/>
  <c r="CL38" i="1"/>
  <c r="CK38" i="1"/>
  <c r="CJ38" i="1"/>
  <c r="CI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C38" i="1"/>
  <c r="BB38" i="1"/>
  <c r="BA38" i="1"/>
  <c r="AZ38" i="1"/>
  <c r="AY38" i="1"/>
  <c r="CT37" i="1"/>
  <c r="CS37" i="1"/>
  <c r="CR37" i="1"/>
  <c r="CQ37" i="1"/>
  <c r="CP37" i="1"/>
  <c r="CO37" i="1"/>
  <c r="CN37" i="1"/>
  <c r="CM37" i="1"/>
  <c r="CL37" i="1"/>
  <c r="CK37" i="1"/>
  <c r="CJ37" i="1"/>
  <c r="CI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C37" i="1"/>
  <c r="BB37" i="1"/>
  <c r="BA37" i="1"/>
  <c r="AZ37" i="1"/>
  <c r="AY37" i="1"/>
  <c r="CT36" i="1"/>
  <c r="CS36" i="1"/>
  <c r="CR36" i="1"/>
  <c r="CQ36" i="1"/>
  <c r="CP36" i="1"/>
  <c r="CO36" i="1"/>
  <c r="CN36" i="1"/>
  <c r="CM36" i="1"/>
  <c r="CL36" i="1"/>
  <c r="CK36" i="1"/>
  <c r="CJ36" i="1"/>
  <c r="CI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C36" i="1"/>
  <c r="BB36" i="1"/>
  <c r="BA36" i="1"/>
  <c r="AZ36" i="1"/>
  <c r="AY36" i="1"/>
  <c r="CT35" i="1"/>
  <c r="CS35" i="1"/>
  <c r="CR35" i="1"/>
  <c r="CQ35" i="1"/>
  <c r="CP35" i="1"/>
  <c r="CO35" i="1"/>
  <c r="CN35" i="1"/>
  <c r="CM35" i="1"/>
  <c r="CL35" i="1"/>
  <c r="CK35" i="1"/>
  <c r="CJ35" i="1"/>
  <c r="CI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C35" i="1"/>
  <c r="BB35" i="1"/>
  <c r="BA35" i="1"/>
  <c r="AZ35" i="1"/>
  <c r="AY35" i="1"/>
  <c r="CT34" i="1"/>
  <c r="CS34" i="1"/>
  <c r="CR34" i="1"/>
  <c r="CQ34" i="1"/>
  <c r="CP34" i="1"/>
  <c r="CO34" i="1"/>
  <c r="CN34" i="1"/>
  <c r="CM34" i="1"/>
  <c r="CL34" i="1"/>
  <c r="CK34" i="1"/>
  <c r="CJ34" i="1"/>
  <c r="CI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C34" i="1"/>
  <c r="BB34" i="1"/>
  <c r="BA34" i="1"/>
  <c r="AZ34" i="1"/>
  <c r="AY34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C33" i="1"/>
  <c r="BB33" i="1"/>
  <c r="BA33" i="1"/>
  <c r="AZ33" i="1"/>
  <c r="AY33" i="1"/>
  <c r="CT32" i="1"/>
  <c r="CS32" i="1"/>
  <c r="CR32" i="1"/>
  <c r="CQ32" i="1"/>
  <c r="CP32" i="1"/>
  <c r="CO32" i="1"/>
  <c r="CN32" i="1"/>
  <c r="CM32" i="1"/>
  <c r="CL32" i="1"/>
  <c r="CK32" i="1"/>
  <c r="CJ32" i="1"/>
  <c r="CI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C32" i="1"/>
  <c r="BB32" i="1"/>
  <c r="BA32" i="1"/>
  <c r="AZ32" i="1"/>
  <c r="AY32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C31" i="1"/>
  <c r="BB31" i="1"/>
  <c r="BA31" i="1"/>
  <c r="AZ31" i="1"/>
  <c r="AY31" i="1"/>
  <c r="CT30" i="1"/>
  <c r="CS30" i="1"/>
  <c r="CR30" i="1"/>
  <c r="CQ30" i="1"/>
  <c r="CP30" i="1"/>
  <c r="CO30" i="1"/>
  <c r="CN30" i="1"/>
  <c r="CM30" i="1"/>
  <c r="CL30" i="1"/>
  <c r="CK30" i="1"/>
  <c r="CJ30" i="1"/>
  <c r="CI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C30" i="1"/>
  <c r="BB30" i="1"/>
  <c r="BA30" i="1"/>
  <c r="AZ30" i="1"/>
  <c r="AY30" i="1"/>
  <c r="CT29" i="1"/>
  <c r="CS29" i="1"/>
  <c r="CR29" i="1"/>
  <c r="CQ29" i="1"/>
  <c r="CP29" i="1"/>
  <c r="CO29" i="1"/>
  <c r="CN29" i="1"/>
  <c r="CM29" i="1"/>
  <c r="CL29" i="1"/>
  <c r="CK29" i="1"/>
  <c r="CJ29" i="1"/>
  <c r="CI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C29" i="1"/>
  <c r="BB29" i="1"/>
  <c r="BA29" i="1"/>
  <c r="AZ29" i="1"/>
  <c r="AY29" i="1"/>
  <c r="CT28" i="1"/>
  <c r="CS28" i="1"/>
  <c r="CR28" i="1"/>
  <c r="CQ28" i="1"/>
  <c r="CP28" i="1"/>
  <c r="CO28" i="1"/>
  <c r="CN28" i="1"/>
  <c r="CM28" i="1"/>
  <c r="CL28" i="1"/>
  <c r="CK28" i="1"/>
  <c r="CJ28" i="1"/>
  <c r="CI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C28" i="1"/>
  <c r="BB28" i="1"/>
  <c r="BA28" i="1"/>
  <c r="AZ28" i="1"/>
  <c r="AY28" i="1"/>
  <c r="CT27" i="1"/>
  <c r="CS27" i="1"/>
  <c r="CR27" i="1"/>
  <c r="CQ27" i="1"/>
  <c r="CP27" i="1"/>
  <c r="CO27" i="1"/>
  <c r="CN27" i="1"/>
  <c r="CM27" i="1"/>
  <c r="CL27" i="1"/>
  <c r="CK27" i="1"/>
  <c r="CJ27" i="1"/>
  <c r="CI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C27" i="1"/>
  <c r="BB27" i="1"/>
  <c r="BA27" i="1"/>
  <c r="AZ27" i="1"/>
  <c r="AY27" i="1"/>
  <c r="CT26" i="1"/>
  <c r="CS26" i="1"/>
  <c r="CR26" i="1"/>
  <c r="CQ26" i="1"/>
  <c r="CP26" i="1"/>
  <c r="CO26" i="1"/>
  <c r="CN26" i="1"/>
  <c r="CM26" i="1"/>
  <c r="CL26" i="1"/>
  <c r="CK26" i="1"/>
  <c r="CJ26" i="1"/>
  <c r="CI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C26" i="1"/>
  <c r="BB26" i="1"/>
  <c r="BA26" i="1"/>
  <c r="AZ26" i="1"/>
  <c r="AY26" i="1"/>
  <c r="CT25" i="1"/>
  <c r="CS25" i="1"/>
  <c r="CR25" i="1"/>
  <c r="CQ25" i="1"/>
  <c r="CP25" i="1"/>
  <c r="CO25" i="1"/>
  <c r="CN25" i="1"/>
  <c r="CM25" i="1"/>
  <c r="CL25" i="1"/>
  <c r="CK25" i="1"/>
  <c r="CJ25" i="1"/>
  <c r="CI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C25" i="1"/>
  <c r="BB25" i="1"/>
  <c r="BA25" i="1"/>
  <c r="AZ25" i="1"/>
  <c r="AY25" i="1"/>
  <c r="CT24" i="1"/>
  <c r="CS24" i="1"/>
  <c r="CR24" i="1"/>
  <c r="CQ24" i="1"/>
  <c r="CP24" i="1"/>
  <c r="CO24" i="1"/>
  <c r="CN24" i="1"/>
  <c r="CM24" i="1"/>
  <c r="CL24" i="1"/>
  <c r="CK24" i="1"/>
  <c r="CJ24" i="1"/>
  <c r="CI24" i="1"/>
  <c r="BY24" i="1"/>
  <c r="BX24" i="1"/>
  <c r="BW24" i="1"/>
  <c r="BV24" i="1"/>
  <c r="BU24" i="1"/>
  <c r="BT24" i="1"/>
  <c r="BS24" i="1"/>
  <c r="BR24" i="1"/>
  <c r="BQ24" i="1"/>
  <c r="BP24" i="1"/>
  <c r="BO24" i="1"/>
  <c r="BN24" i="1"/>
  <c r="BM24" i="1"/>
  <c r="BL24" i="1"/>
  <c r="BK24" i="1"/>
  <c r="BJ24" i="1"/>
  <c r="BI24" i="1"/>
  <c r="BH24" i="1"/>
  <c r="BG24" i="1"/>
  <c r="BF24" i="1"/>
  <c r="BC24" i="1"/>
  <c r="BB24" i="1"/>
  <c r="BA24" i="1"/>
  <c r="AZ24" i="1"/>
  <c r="AY24" i="1"/>
  <c r="CT23" i="1"/>
  <c r="CS23" i="1"/>
  <c r="CR23" i="1"/>
  <c r="CQ23" i="1"/>
  <c r="CP23" i="1"/>
  <c r="CO23" i="1"/>
  <c r="CN23" i="1"/>
  <c r="CM23" i="1"/>
  <c r="CL23" i="1"/>
  <c r="CK23" i="1"/>
  <c r="CJ23" i="1"/>
  <c r="CI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C23" i="1"/>
  <c r="BB23" i="1"/>
  <c r="BA23" i="1"/>
  <c r="AZ23" i="1"/>
  <c r="AY23" i="1"/>
  <c r="CT22" i="1"/>
  <c r="CS22" i="1"/>
  <c r="CR22" i="1"/>
  <c r="CQ22" i="1"/>
  <c r="CP22" i="1"/>
  <c r="CO22" i="1"/>
  <c r="CN22" i="1"/>
  <c r="CM22" i="1"/>
  <c r="CL22" i="1"/>
  <c r="CK22" i="1"/>
  <c r="CJ22" i="1"/>
  <c r="CI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C22" i="1"/>
  <c r="BB22" i="1"/>
  <c r="BA22" i="1"/>
  <c r="AZ22" i="1"/>
  <c r="AY22" i="1"/>
  <c r="CT21" i="1"/>
  <c r="CS21" i="1"/>
  <c r="CR21" i="1"/>
  <c r="CQ21" i="1"/>
  <c r="CP21" i="1"/>
  <c r="CO21" i="1"/>
  <c r="CN21" i="1"/>
  <c r="CM21" i="1"/>
  <c r="CL21" i="1"/>
  <c r="CK21" i="1"/>
  <c r="CJ21" i="1"/>
  <c r="CI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C21" i="1"/>
  <c r="BB21" i="1"/>
  <c r="BA21" i="1"/>
  <c r="AZ21" i="1"/>
  <c r="AY21" i="1"/>
  <c r="CT20" i="1"/>
  <c r="CS20" i="1"/>
  <c r="CR20" i="1"/>
  <c r="CQ20" i="1"/>
  <c r="CP20" i="1"/>
  <c r="CO20" i="1"/>
  <c r="CN20" i="1"/>
  <c r="CM20" i="1"/>
  <c r="CL20" i="1"/>
  <c r="CK20" i="1"/>
  <c r="CJ20" i="1"/>
  <c r="CI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C20" i="1"/>
  <c r="BB20" i="1"/>
  <c r="BA20" i="1"/>
  <c r="AZ20" i="1"/>
  <c r="AY20" i="1"/>
  <c r="CT19" i="1"/>
  <c r="CS19" i="1"/>
  <c r="CR19" i="1"/>
  <c r="CQ19" i="1"/>
  <c r="CP19" i="1"/>
  <c r="CO19" i="1"/>
  <c r="CN19" i="1"/>
  <c r="CM19" i="1"/>
  <c r="CL19" i="1"/>
  <c r="CK19" i="1"/>
  <c r="CJ19" i="1"/>
  <c r="CI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C19" i="1"/>
  <c r="BB19" i="1"/>
  <c r="BA19" i="1"/>
  <c r="AZ19" i="1"/>
  <c r="AY19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C18" i="1"/>
  <c r="BB18" i="1"/>
  <c r="BA18" i="1"/>
  <c r="AZ18" i="1"/>
  <c r="AY18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C17" i="1"/>
  <c r="BB17" i="1"/>
  <c r="BA17" i="1"/>
  <c r="AZ17" i="1"/>
  <c r="AY17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C16" i="1"/>
  <c r="BB16" i="1"/>
  <c r="BA16" i="1"/>
  <c r="AZ16" i="1"/>
  <c r="AY16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C15" i="1"/>
  <c r="BB15" i="1"/>
  <c r="BA15" i="1"/>
  <c r="AZ15" i="1"/>
  <c r="AY15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C14" i="1"/>
  <c r="BB14" i="1"/>
  <c r="BA14" i="1"/>
  <c r="AZ14" i="1"/>
  <c r="AY14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C13" i="1"/>
  <c r="BB13" i="1"/>
  <c r="BA13" i="1"/>
  <c r="AZ13" i="1"/>
  <c r="AY13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C12" i="1"/>
  <c r="BB12" i="1"/>
  <c r="BA12" i="1"/>
  <c r="AZ12" i="1"/>
  <c r="AY12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C11" i="1"/>
  <c r="BB11" i="1"/>
  <c r="BA11" i="1"/>
  <c r="AZ11" i="1"/>
  <c r="AY11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C10" i="1"/>
  <c r="BB10" i="1"/>
  <c r="BA10" i="1"/>
  <c r="AZ10" i="1"/>
  <c r="AY10" i="1"/>
  <c r="CT9" i="1"/>
  <c r="CS9" i="1"/>
  <c r="CR9" i="1"/>
  <c r="CQ9" i="1"/>
  <c r="CP9" i="1"/>
  <c r="CO9" i="1"/>
  <c r="CN9" i="1"/>
  <c r="CM9" i="1"/>
  <c r="CL9" i="1"/>
  <c r="CK9" i="1"/>
  <c r="CJ9" i="1"/>
  <c r="CI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C9" i="1"/>
  <c r="BB9" i="1"/>
  <c r="BA9" i="1"/>
  <c r="AZ9" i="1"/>
  <c r="AY9" i="1"/>
  <c r="CT8" i="1"/>
  <c r="CS8" i="1"/>
  <c r="CR8" i="1"/>
  <c r="CQ8" i="1"/>
  <c r="CP8" i="1"/>
  <c r="CO8" i="1"/>
  <c r="CN8" i="1"/>
  <c r="CM8" i="1"/>
  <c r="CL8" i="1"/>
  <c r="CK8" i="1"/>
  <c r="CJ8" i="1"/>
  <c r="CI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C8" i="1"/>
  <c r="BB8" i="1"/>
  <c r="BA8" i="1"/>
  <c r="AZ8" i="1"/>
  <c r="AY8" i="1"/>
  <c r="CT7" i="1"/>
  <c r="CS7" i="1"/>
  <c r="CR7" i="1"/>
  <c r="CQ7" i="1"/>
  <c r="CP7" i="1"/>
  <c r="CO7" i="1"/>
  <c r="CN7" i="1"/>
  <c r="CM7" i="1"/>
  <c r="CL7" i="1"/>
  <c r="CK7" i="1"/>
  <c r="CJ7" i="1"/>
  <c r="CI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C7" i="1"/>
  <c r="BB7" i="1"/>
  <c r="BA7" i="1"/>
  <c r="AZ7" i="1"/>
  <c r="AY7" i="1"/>
  <c r="CT6" i="1"/>
  <c r="CS6" i="1"/>
  <c r="CR6" i="1"/>
  <c r="CQ6" i="1"/>
  <c r="CP6" i="1"/>
  <c r="CO6" i="1"/>
  <c r="CN6" i="1"/>
  <c r="CM6" i="1"/>
  <c r="CL6" i="1"/>
  <c r="CK6" i="1"/>
  <c r="CJ6" i="1"/>
  <c r="CI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C6" i="1"/>
  <c r="BB6" i="1"/>
  <c r="BA6" i="1"/>
  <c r="AZ6" i="1"/>
  <c r="AY6" i="1"/>
  <c r="CT5" i="1"/>
  <c r="CS5" i="1"/>
  <c r="CR5" i="1"/>
  <c r="CQ5" i="1"/>
  <c r="CP5" i="1"/>
  <c r="CO5" i="1"/>
  <c r="CN5" i="1"/>
  <c r="CM5" i="1"/>
  <c r="CL5" i="1"/>
  <c r="CK5" i="1"/>
  <c r="CJ5" i="1"/>
  <c r="CI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I5" i="1"/>
  <c r="BH5" i="1"/>
  <c r="BG5" i="1"/>
  <c r="BF5" i="1"/>
  <c r="BC5" i="1"/>
  <c r="BB5" i="1"/>
  <c r="AC2" i="1" l="1"/>
  <c r="BZ2" i="1" s="1"/>
  <c r="AW2" i="1"/>
  <c r="CT2" i="1" s="1"/>
  <c r="AV2" i="1"/>
  <c r="CS2" i="1" s="1"/>
  <c r="AU2" i="1"/>
  <c r="CR2" i="1" s="1"/>
  <c r="AT2" i="1"/>
  <c r="CQ2" i="1" s="1"/>
  <c r="AS2" i="1"/>
  <c r="CP2" i="1" s="1"/>
  <c r="AR2" i="1"/>
  <c r="CO2" i="1" s="1"/>
  <c r="AQ2" i="1"/>
  <c r="CN2" i="1" s="1"/>
  <c r="AP2" i="1"/>
  <c r="CM2" i="1" s="1"/>
  <c r="AO2" i="1"/>
  <c r="CL2" i="1" s="1"/>
  <c r="AN2" i="1"/>
  <c r="CK2" i="1" s="1"/>
  <c r="AM2" i="1"/>
  <c r="CJ2" i="1" s="1"/>
  <c r="AL2" i="1"/>
  <c r="CI2" i="1" s="1"/>
  <c r="AK2" i="1"/>
  <c r="CH2" i="1" s="1"/>
  <c r="AB2" i="1"/>
  <c r="BY2" i="1" s="1"/>
  <c r="AA2" i="1"/>
  <c r="BX2" i="1" s="1"/>
  <c r="Z2" i="1"/>
  <c r="BW2" i="1" s="1"/>
  <c r="Y2" i="1"/>
  <c r="BV2" i="1" s="1"/>
  <c r="X2" i="1"/>
  <c r="BU2" i="1" s="1"/>
  <c r="W2" i="1"/>
  <c r="BT2" i="1" s="1"/>
  <c r="V2" i="1"/>
  <c r="BS2" i="1" s="1"/>
  <c r="U2" i="1"/>
  <c r="BR2" i="1" s="1"/>
  <c r="T2" i="1"/>
  <c r="BQ2" i="1" s="1"/>
  <c r="S2" i="1"/>
  <c r="BP2" i="1" s="1"/>
  <c r="R2" i="1"/>
  <c r="BO2" i="1" s="1"/>
  <c r="Q2" i="1"/>
  <c r="BN2" i="1" s="1"/>
  <c r="P2" i="1"/>
  <c r="BM2" i="1" s="1"/>
  <c r="O2" i="1"/>
  <c r="BL2" i="1" s="1"/>
  <c r="N2" i="1"/>
  <c r="BK2" i="1" s="1"/>
  <c r="M2" i="1"/>
  <c r="BJ2" i="1" s="1"/>
  <c r="L2" i="1"/>
  <c r="BI2" i="1" s="1"/>
  <c r="K2" i="1"/>
  <c r="BH2" i="1" s="1"/>
  <c r="J2" i="1"/>
  <c r="BG2" i="1" s="1"/>
  <c r="F2" i="1"/>
  <c r="BC2" i="1" s="1"/>
  <c r="E2" i="1"/>
  <c r="BB2" i="1" s="1"/>
  <c r="D2" i="1"/>
  <c r="BA2" i="1" s="1"/>
  <c r="AZ2" i="1"/>
  <c r="AY2" i="1" l="1"/>
</calcChain>
</file>

<file path=xl/sharedStrings.xml><?xml version="1.0" encoding="utf-8"?>
<sst xmlns="http://schemas.openxmlformats.org/spreadsheetml/2006/main" count="633" uniqueCount="79">
  <si>
    <t>Year</t>
  </si>
  <si>
    <t>North Luangwa</t>
  </si>
  <si>
    <t>South Luangwa</t>
  </si>
  <si>
    <t>Luambe</t>
  </si>
  <si>
    <t>Lukusuzi</t>
  </si>
  <si>
    <t>Kasungu</t>
  </si>
  <si>
    <t>Luengwe Luiana</t>
  </si>
  <si>
    <t>Mavinga</t>
  </si>
  <si>
    <t>Khaudum</t>
  </si>
  <si>
    <t>Bwabwata</t>
  </si>
  <si>
    <t>Nkasa Rupara</t>
  </si>
  <si>
    <t>Kafue</t>
  </si>
  <si>
    <t>Sioma Ngwezi</t>
  </si>
  <si>
    <t>Moremi</t>
  </si>
  <si>
    <t>Chobe</t>
  </si>
  <si>
    <t>Nxai Pan</t>
  </si>
  <si>
    <t>Makgakgadi</t>
  </si>
  <si>
    <t>Vicoria Falls</t>
  </si>
  <si>
    <t>Hwange</t>
  </si>
  <si>
    <t>Chizarira</t>
  </si>
  <si>
    <t>Matusadonha</t>
  </si>
  <si>
    <t>Northern Tuli</t>
  </si>
  <si>
    <t>Venetia Limpopo</t>
  </si>
  <si>
    <t>Mapungubwe</t>
  </si>
  <si>
    <t>Gonarezhou</t>
  </si>
  <si>
    <t>Makhuya</t>
  </si>
  <si>
    <t>Kruger</t>
  </si>
  <si>
    <t>Limpopo</t>
  </si>
  <si>
    <t>Banhine</t>
  </si>
  <si>
    <t>Zinave</t>
  </si>
  <si>
    <t>Maputo</t>
  </si>
  <si>
    <t>Tembe</t>
  </si>
  <si>
    <t>Pongola</t>
  </si>
  <si>
    <t>uMkhuze</t>
  </si>
  <si>
    <t>iSimangaliso</t>
  </si>
  <si>
    <t>HIP</t>
  </si>
  <si>
    <t>Ithala</t>
  </si>
  <si>
    <t>Addo</t>
  </si>
  <si>
    <t>Pilanesberg</t>
  </si>
  <si>
    <t>Madikwe</t>
  </si>
  <si>
    <t>Densities</t>
  </si>
  <si>
    <t>Vicoria Falls /Zambezi NP</t>
  </si>
  <si>
    <t>Nkasa Rupara (Mamili NP)</t>
  </si>
  <si>
    <t>Letaba</t>
  </si>
  <si>
    <t>Klaserie</t>
  </si>
  <si>
    <t>Balule</t>
  </si>
  <si>
    <t>Umbabat</t>
  </si>
  <si>
    <t>Timbavati</t>
  </si>
  <si>
    <t>Manyeleti</t>
  </si>
  <si>
    <t>Sabie Sands</t>
  </si>
  <si>
    <t>Lower Zambezi</t>
  </si>
  <si>
    <t>Mana Pools</t>
  </si>
  <si>
    <t>Park size</t>
  </si>
  <si>
    <t>Number of estimates</t>
  </si>
  <si>
    <t>Park name</t>
  </si>
  <si>
    <t>y</t>
  </si>
  <si>
    <t>xi</t>
  </si>
  <si>
    <t>yi</t>
  </si>
  <si>
    <t>Lambda</t>
  </si>
  <si>
    <t>No elephants</t>
  </si>
  <si>
    <t>Slope</t>
  </si>
  <si>
    <t>SE</t>
  </si>
  <si>
    <t>Trend</t>
  </si>
  <si>
    <t>declining</t>
  </si>
  <si>
    <t>increasing</t>
  </si>
  <si>
    <t>stable</t>
  </si>
  <si>
    <t>no estimate</t>
  </si>
  <si>
    <t>significant increase</t>
  </si>
  <si>
    <t>signifant increase</t>
  </si>
  <si>
    <t>Parameter</t>
  </si>
  <si>
    <t>Population growth</t>
  </si>
  <si>
    <t>PAN</t>
  </si>
  <si>
    <t>Malawi-Zambia</t>
  </si>
  <si>
    <t>Lower Zambezi-Mana Pools</t>
  </si>
  <si>
    <t>Kavango-Zambezi</t>
  </si>
  <si>
    <t>Greater Mapunguwe</t>
  </si>
  <si>
    <t>Greater Limpopo</t>
  </si>
  <si>
    <t>Lubombo</t>
  </si>
  <si>
    <t>Additional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</si>
</sst>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3825-E1F9-455B-A69F-C6EB6BD249CE}">
  <dimension ref="A1:CT44"/>
  <sheetViews>
    <sheetView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B5" sqref="B5"/>
    </sheetView>
  </sheetViews>
  <sheetFormatPr defaultRowHeight="14.4" x14ac:dyDescent="0.3"/>
  <cols>
    <col min="1" max="1" width="18.33203125" bestFit="1" customWidth="1"/>
  </cols>
  <sheetData>
    <row r="1" spans="1:98" x14ac:dyDescent="0.3">
      <c r="A1" t="s">
        <v>71</v>
      </c>
      <c r="B1" t="s">
        <v>72</v>
      </c>
      <c r="C1" t="s">
        <v>72</v>
      </c>
      <c r="D1" t="s">
        <v>72</v>
      </c>
      <c r="E1" t="s">
        <v>72</v>
      </c>
      <c r="F1" t="s">
        <v>72</v>
      </c>
      <c r="G1" t="s">
        <v>73</v>
      </c>
      <c r="H1" t="s">
        <v>73</v>
      </c>
      <c r="I1" t="s">
        <v>74</v>
      </c>
      <c r="J1" t="s">
        <v>74</v>
      </c>
      <c r="K1" t="s">
        <v>74</v>
      </c>
      <c r="L1" t="s">
        <v>74</v>
      </c>
      <c r="M1" t="s">
        <v>74</v>
      </c>
      <c r="N1" t="s">
        <v>74</v>
      </c>
      <c r="O1" t="s">
        <v>74</v>
      </c>
      <c r="P1" t="s">
        <v>74</v>
      </c>
      <c r="Q1" t="s">
        <v>74</v>
      </c>
      <c r="R1" t="s">
        <v>74</v>
      </c>
      <c r="S1" t="s">
        <v>74</v>
      </c>
      <c r="T1" t="s">
        <v>74</v>
      </c>
      <c r="U1" t="s">
        <v>74</v>
      </c>
      <c r="V1" t="s">
        <v>74</v>
      </c>
      <c r="W1" t="s">
        <v>74</v>
      </c>
      <c r="X1" t="s">
        <v>75</v>
      </c>
      <c r="Y1" t="s">
        <v>75</v>
      </c>
      <c r="Z1" t="s">
        <v>75</v>
      </c>
      <c r="AA1" t="s">
        <v>76</v>
      </c>
      <c r="AB1" t="s">
        <v>76</v>
      </c>
      <c r="AC1" t="s">
        <v>76</v>
      </c>
      <c r="AD1" t="s">
        <v>76</v>
      </c>
      <c r="AE1" t="s">
        <v>76</v>
      </c>
      <c r="AF1" t="s">
        <v>76</v>
      </c>
      <c r="AG1" t="s">
        <v>76</v>
      </c>
      <c r="AH1" t="s">
        <v>76</v>
      </c>
      <c r="AI1" t="s">
        <v>76</v>
      </c>
      <c r="AJ1" t="s">
        <v>76</v>
      </c>
      <c r="AK1" t="s">
        <v>76</v>
      </c>
      <c r="AL1" t="s">
        <v>76</v>
      </c>
      <c r="AM1" t="s">
        <v>76</v>
      </c>
      <c r="AN1" t="s">
        <v>77</v>
      </c>
      <c r="AO1" t="s">
        <v>77</v>
      </c>
      <c r="AP1" t="s">
        <v>77</v>
      </c>
      <c r="AQ1" t="s">
        <v>77</v>
      </c>
      <c r="AR1" t="s">
        <v>77</v>
      </c>
      <c r="AS1" t="s">
        <v>77</v>
      </c>
      <c r="AT1" t="s">
        <v>77</v>
      </c>
      <c r="AU1" t="s">
        <v>78</v>
      </c>
      <c r="AV1" t="s">
        <v>78</v>
      </c>
      <c r="AW1" t="s">
        <v>78</v>
      </c>
      <c r="AY1">
        <v>1</v>
      </c>
      <c r="AZ1">
        <v>2</v>
      </c>
      <c r="BA1">
        <v>3</v>
      </c>
      <c r="BB1">
        <v>4</v>
      </c>
      <c r="BC1">
        <v>5</v>
      </c>
      <c r="BD1">
        <v>6</v>
      </c>
      <c r="BE1">
        <v>7</v>
      </c>
      <c r="BF1">
        <v>8</v>
      </c>
      <c r="BG1">
        <v>9</v>
      </c>
      <c r="BH1">
        <v>10</v>
      </c>
      <c r="BI1">
        <v>11</v>
      </c>
      <c r="BJ1">
        <v>12</v>
      </c>
      <c r="BK1">
        <v>13</v>
      </c>
      <c r="BL1">
        <v>14</v>
      </c>
      <c r="BM1">
        <v>15</v>
      </c>
      <c r="BN1">
        <v>16</v>
      </c>
      <c r="BO1">
        <v>17</v>
      </c>
      <c r="BP1">
        <v>18</v>
      </c>
      <c r="BQ1">
        <v>19</v>
      </c>
      <c r="BR1">
        <v>20</v>
      </c>
      <c r="BS1">
        <v>21</v>
      </c>
      <c r="BT1">
        <v>22</v>
      </c>
      <c r="BU1">
        <v>23</v>
      </c>
      <c r="BV1">
        <v>24</v>
      </c>
      <c r="BW1">
        <v>25</v>
      </c>
      <c r="BX1">
        <v>26</v>
      </c>
      <c r="BY1">
        <v>27</v>
      </c>
      <c r="BZ1">
        <v>28</v>
      </c>
      <c r="CA1">
        <v>29</v>
      </c>
      <c r="CB1">
        <v>30</v>
      </c>
      <c r="CC1">
        <v>31</v>
      </c>
      <c r="CD1">
        <v>32</v>
      </c>
      <c r="CE1">
        <v>33</v>
      </c>
      <c r="CF1">
        <v>34</v>
      </c>
      <c r="CG1">
        <v>35</v>
      </c>
      <c r="CH1">
        <v>36</v>
      </c>
      <c r="CI1">
        <v>37</v>
      </c>
      <c r="CJ1">
        <v>38</v>
      </c>
      <c r="CK1">
        <v>39</v>
      </c>
      <c r="CL1">
        <v>40</v>
      </c>
      <c r="CM1">
        <v>41</v>
      </c>
      <c r="CN1">
        <v>42</v>
      </c>
      <c r="CO1">
        <v>43</v>
      </c>
      <c r="CP1">
        <v>44</v>
      </c>
      <c r="CQ1">
        <v>45</v>
      </c>
      <c r="CR1">
        <v>46</v>
      </c>
      <c r="CS1">
        <v>47</v>
      </c>
      <c r="CT1">
        <v>48</v>
      </c>
    </row>
    <row r="2" spans="1:98" x14ac:dyDescent="0.3">
      <c r="A2" t="s">
        <v>53</v>
      </c>
      <c r="B2">
        <f>COUNT(B5:B44)</f>
        <v>13</v>
      </c>
      <c r="C2">
        <f t="shared" ref="C2:AW2" si="0">COUNT(C5:C44)</f>
        <v>16</v>
      </c>
      <c r="D2">
        <f t="shared" si="0"/>
        <v>4</v>
      </c>
      <c r="E2">
        <f t="shared" si="0"/>
        <v>3</v>
      </c>
      <c r="F2">
        <f t="shared" si="0"/>
        <v>10</v>
      </c>
      <c r="G2">
        <f t="shared" si="0"/>
        <v>4</v>
      </c>
      <c r="H2">
        <f t="shared" si="0"/>
        <v>3</v>
      </c>
      <c r="I2">
        <f t="shared" si="0"/>
        <v>4</v>
      </c>
      <c r="J2">
        <f t="shared" si="0"/>
        <v>2</v>
      </c>
      <c r="K2">
        <f t="shared" si="0"/>
        <v>7</v>
      </c>
      <c r="L2">
        <f t="shared" si="0"/>
        <v>5</v>
      </c>
      <c r="M2">
        <f t="shared" si="0"/>
        <v>10</v>
      </c>
      <c r="N2">
        <f t="shared" si="0"/>
        <v>13</v>
      </c>
      <c r="O2">
        <f t="shared" si="0"/>
        <v>8</v>
      </c>
      <c r="P2">
        <f t="shared" si="0"/>
        <v>9</v>
      </c>
      <c r="Q2">
        <f t="shared" si="0"/>
        <v>13</v>
      </c>
      <c r="R2">
        <f t="shared" si="0"/>
        <v>10</v>
      </c>
      <c r="S2">
        <f t="shared" si="0"/>
        <v>9</v>
      </c>
      <c r="T2">
        <f t="shared" si="0"/>
        <v>5</v>
      </c>
      <c r="U2">
        <f t="shared" si="0"/>
        <v>18</v>
      </c>
      <c r="V2">
        <f t="shared" si="0"/>
        <v>11</v>
      </c>
      <c r="W2">
        <f t="shared" si="0"/>
        <v>9</v>
      </c>
      <c r="X2">
        <f t="shared" si="0"/>
        <v>15</v>
      </c>
      <c r="Y2">
        <f t="shared" si="0"/>
        <v>6</v>
      </c>
      <c r="Z2">
        <f t="shared" si="0"/>
        <v>8</v>
      </c>
      <c r="AA2">
        <f t="shared" si="0"/>
        <v>17</v>
      </c>
      <c r="AB2">
        <f t="shared" si="0"/>
        <v>10</v>
      </c>
      <c r="AC2">
        <f t="shared" si="0"/>
        <v>30</v>
      </c>
      <c r="AD2">
        <f t="shared" si="0"/>
        <v>5</v>
      </c>
      <c r="AE2">
        <f t="shared" si="0"/>
        <v>20</v>
      </c>
      <c r="AF2">
        <f t="shared" si="0"/>
        <v>14</v>
      </c>
      <c r="AG2">
        <f t="shared" si="0"/>
        <v>17</v>
      </c>
      <c r="AH2">
        <f t="shared" si="0"/>
        <v>23</v>
      </c>
      <c r="AI2">
        <f t="shared" si="0"/>
        <v>7</v>
      </c>
      <c r="AJ2">
        <f t="shared" si="0"/>
        <v>12</v>
      </c>
      <c r="AK2">
        <f t="shared" si="0"/>
        <v>4</v>
      </c>
      <c r="AL2">
        <f t="shared" si="0"/>
        <v>0</v>
      </c>
      <c r="AM2">
        <f t="shared" si="0"/>
        <v>0</v>
      </c>
      <c r="AN2">
        <f t="shared" si="0"/>
        <v>15</v>
      </c>
      <c r="AO2">
        <f t="shared" si="0"/>
        <v>26</v>
      </c>
      <c r="AP2">
        <f t="shared" si="0"/>
        <v>9</v>
      </c>
      <c r="AQ2">
        <f t="shared" si="0"/>
        <v>5</v>
      </c>
      <c r="AR2">
        <f t="shared" si="0"/>
        <v>5</v>
      </c>
      <c r="AS2">
        <f t="shared" si="0"/>
        <v>20</v>
      </c>
      <c r="AT2">
        <f t="shared" si="0"/>
        <v>5</v>
      </c>
      <c r="AU2">
        <f t="shared" si="0"/>
        <v>33</v>
      </c>
      <c r="AV2">
        <f t="shared" si="0"/>
        <v>21</v>
      </c>
      <c r="AW2">
        <f t="shared" si="0"/>
        <v>22</v>
      </c>
      <c r="AX2">
        <f>SUM(B2:AW2)</f>
        <v>535</v>
      </c>
      <c r="AY2" s="2">
        <f t="shared" ref="AY2:BD2" si="1">(COUNT(AY5:AY44))-(B2)</f>
        <v>0</v>
      </c>
      <c r="AZ2" s="2">
        <f t="shared" si="1"/>
        <v>0</v>
      </c>
      <c r="BA2" s="2">
        <f t="shared" si="1"/>
        <v>0</v>
      </c>
      <c r="BB2" s="2">
        <f t="shared" si="1"/>
        <v>0</v>
      </c>
      <c r="BC2" s="2">
        <f t="shared" si="1"/>
        <v>0</v>
      </c>
      <c r="BD2" s="2">
        <f t="shared" si="1"/>
        <v>0</v>
      </c>
      <c r="BE2" s="2">
        <f t="shared" ref="BE2:BF2" si="2">(COUNT(BE5:BE44))-(H2)</f>
        <v>0</v>
      </c>
      <c r="BF2" s="2">
        <f t="shared" si="2"/>
        <v>0</v>
      </c>
      <c r="BG2" s="2">
        <f t="shared" ref="BG2:CT2" si="3">(COUNT(BG5:BG44))-(J2)</f>
        <v>0</v>
      </c>
      <c r="BH2" s="2">
        <f t="shared" si="3"/>
        <v>0</v>
      </c>
      <c r="BI2" s="2">
        <f t="shared" si="3"/>
        <v>0</v>
      </c>
      <c r="BJ2" s="2">
        <f t="shared" si="3"/>
        <v>0</v>
      </c>
      <c r="BK2" s="2">
        <f t="shared" si="3"/>
        <v>0</v>
      </c>
      <c r="BL2" s="2">
        <f t="shared" si="3"/>
        <v>0</v>
      </c>
      <c r="BM2" s="2">
        <f t="shared" si="3"/>
        <v>0</v>
      </c>
      <c r="BN2" s="2">
        <f t="shared" si="3"/>
        <v>0</v>
      </c>
      <c r="BO2" s="2">
        <f t="shared" si="3"/>
        <v>0</v>
      </c>
      <c r="BP2" s="2">
        <f t="shared" si="3"/>
        <v>0</v>
      </c>
      <c r="BQ2" s="2">
        <f t="shared" si="3"/>
        <v>0</v>
      </c>
      <c r="BR2" s="2">
        <f t="shared" si="3"/>
        <v>0</v>
      </c>
      <c r="BS2" s="2">
        <f t="shared" si="3"/>
        <v>0</v>
      </c>
      <c r="BT2" s="2">
        <f t="shared" si="3"/>
        <v>0</v>
      </c>
      <c r="BU2" s="2">
        <f t="shared" si="3"/>
        <v>0</v>
      </c>
      <c r="BV2" s="2">
        <f t="shared" si="3"/>
        <v>0</v>
      </c>
      <c r="BW2" s="2">
        <f t="shared" si="3"/>
        <v>0</v>
      </c>
      <c r="BX2" s="2">
        <f t="shared" si="3"/>
        <v>0</v>
      </c>
      <c r="BY2" s="2">
        <f t="shared" si="3"/>
        <v>0</v>
      </c>
      <c r="BZ2" s="2">
        <f t="shared" si="3"/>
        <v>0</v>
      </c>
      <c r="CA2" s="2">
        <f t="shared" si="3"/>
        <v>0</v>
      </c>
      <c r="CB2" s="2">
        <f t="shared" si="3"/>
        <v>0</v>
      </c>
      <c r="CC2" s="2">
        <f t="shared" si="3"/>
        <v>0</v>
      </c>
      <c r="CD2" s="2">
        <f t="shared" si="3"/>
        <v>0</v>
      </c>
      <c r="CE2" s="2">
        <f t="shared" si="3"/>
        <v>0</v>
      </c>
      <c r="CF2" s="2">
        <f t="shared" si="3"/>
        <v>0</v>
      </c>
      <c r="CG2" s="2">
        <f t="shared" si="3"/>
        <v>0</v>
      </c>
      <c r="CH2" s="2">
        <f t="shared" si="3"/>
        <v>0</v>
      </c>
      <c r="CI2" s="2">
        <f t="shared" si="3"/>
        <v>0</v>
      </c>
      <c r="CJ2" s="2">
        <f t="shared" si="3"/>
        <v>0</v>
      </c>
      <c r="CK2" s="2">
        <f t="shared" si="3"/>
        <v>0</v>
      </c>
      <c r="CL2" s="2">
        <f t="shared" si="3"/>
        <v>0</v>
      </c>
      <c r="CM2" s="2">
        <f t="shared" si="3"/>
        <v>0</v>
      </c>
      <c r="CN2" s="2">
        <f t="shared" si="3"/>
        <v>0</v>
      </c>
      <c r="CO2" s="2">
        <f t="shared" si="3"/>
        <v>0</v>
      </c>
      <c r="CP2" s="2">
        <f t="shared" si="3"/>
        <v>0</v>
      </c>
      <c r="CQ2" s="2">
        <f t="shared" si="3"/>
        <v>0</v>
      </c>
      <c r="CR2" s="2">
        <f t="shared" si="3"/>
        <v>0</v>
      </c>
      <c r="CS2" s="2">
        <f t="shared" si="3"/>
        <v>0</v>
      </c>
      <c r="CT2" s="2">
        <f t="shared" si="3"/>
        <v>0</v>
      </c>
    </row>
    <row r="3" spans="1:98" x14ac:dyDescent="0.3">
      <c r="A3" t="s">
        <v>52</v>
      </c>
      <c r="B3">
        <v>4712</v>
      </c>
      <c r="C3">
        <v>8704</v>
      </c>
      <c r="D3">
        <v>361</v>
      </c>
      <c r="E3">
        <v>2610</v>
      </c>
      <c r="F3">
        <v>2359</v>
      </c>
      <c r="G3">
        <v>4143</v>
      </c>
      <c r="H3">
        <v>2196</v>
      </c>
      <c r="I3">
        <v>14094</v>
      </c>
      <c r="J3">
        <v>1672</v>
      </c>
      <c r="K3">
        <v>3842</v>
      </c>
      <c r="L3">
        <v>4471</v>
      </c>
      <c r="M3">
        <v>338</v>
      </c>
      <c r="N3">
        <v>22309</v>
      </c>
      <c r="O3">
        <v>4478</v>
      </c>
      <c r="P3">
        <v>4890</v>
      </c>
      <c r="Q3">
        <v>11000</v>
      </c>
      <c r="R3">
        <v>2576</v>
      </c>
      <c r="S3">
        <v>4902</v>
      </c>
      <c r="T3">
        <v>4913</v>
      </c>
      <c r="U3">
        <v>14651</v>
      </c>
      <c r="V3">
        <v>1910</v>
      </c>
      <c r="W3">
        <v>1407</v>
      </c>
      <c r="X3">
        <v>780</v>
      </c>
      <c r="Y3">
        <v>407</v>
      </c>
      <c r="Z3">
        <v>152</v>
      </c>
      <c r="AA3">
        <v>5053</v>
      </c>
      <c r="AB3">
        <v>363</v>
      </c>
      <c r="AC3">
        <v>19927</v>
      </c>
      <c r="AD3">
        <v>249</v>
      </c>
      <c r="AE3">
        <v>590</v>
      </c>
      <c r="AF3">
        <v>118</v>
      </c>
      <c r="AG3">
        <v>145</v>
      </c>
      <c r="AH3">
        <v>523</v>
      </c>
      <c r="AI3">
        <v>173</v>
      </c>
      <c r="AJ3">
        <v>596</v>
      </c>
      <c r="AK3">
        <v>10000</v>
      </c>
      <c r="AL3">
        <v>6510</v>
      </c>
      <c r="AM3">
        <v>4080</v>
      </c>
      <c r="AN3">
        <v>1040</v>
      </c>
      <c r="AO3">
        <v>299</v>
      </c>
      <c r="AP3">
        <v>90</v>
      </c>
      <c r="AQ3">
        <v>333</v>
      </c>
      <c r="AR3">
        <v>1393</v>
      </c>
      <c r="AS3">
        <v>879</v>
      </c>
      <c r="AT3">
        <v>293</v>
      </c>
      <c r="AU3">
        <v>267</v>
      </c>
      <c r="AV3">
        <v>534</v>
      </c>
      <c r="AW3">
        <v>543</v>
      </c>
      <c r="AY3" t="s">
        <v>40</v>
      </c>
    </row>
    <row r="4" spans="1:98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50</v>
      </c>
      <c r="H4" t="s">
        <v>51</v>
      </c>
      <c r="I4" t="s">
        <v>6</v>
      </c>
      <c r="J4" t="s">
        <v>7</v>
      </c>
      <c r="K4" t="s">
        <v>8</v>
      </c>
      <c r="L4" t="s">
        <v>9</v>
      </c>
      <c r="M4" t="s">
        <v>42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41</v>
      </c>
      <c r="U4" t="s">
        <v>18</v>
      </c>
      <c r="V4" t="s">
        <v>19</v>
      </c>
      <c r="W4" t="s">
        <v>20</v>
      </c>
      <c r="X4" t="s">
        <v>21</v>
      </c>
      <c r="Y4" t="s">
        <v>22</v>
      </c>
      <c r="Z4" t="s">
        <v>23</v>
      </c>
      <c r="AA4" t="s">
        <v>24</v>
      </c>
      <c r="AB4" t="s">
        <v>25</v>
      </c>
      <c r="AC4" t="s">
        <v>26</v>
      </c>
      <c r="AD4" t="s">
        <v>43</v>
      </c>
      <c r="AE4" t="s">
        <v>44</v>
      </c>
      <c r="AF4" t="s">
        <v>45</v>
      </c>
      <c r="AG4" t="s">
        <v>46</v>
      </c>
      <c r="AH4" t="s">
        <v>47</v>
      </c>
      <c r="AI4" t="s">
        <v>48</v>
      </c>
      <c r="AJ4" t="s">
        <v>49</v>
      </c>
      <c r="AK4" t="s">
        <v>27</v>
      </c>
      <c r="AL4" t="s">
        <v>28</v>
      </c>
      <c r="AM4" t="s">
        <v>29</v>
      </c>
      <c r="AN4" t="s">
        <v>30</v>
      </c>
      <c r="AO4" t="s">
        <v>31</v>
      </c>
      <c r="AP4" t="s">
        <v>32</v>
      </c>
      <c r="AQ4" t="s">
        <v>33</v>
      </c>
      <c r="AR4" t="s">
        <v>34</v>
      </c>
      <c r="AS4" t="s">
        <v>35</v>
      </c>
      <c r="AT4" t="s">
        <v>36</v>
      </c>
      <c r="AU4" t="s">
        <v>37</v>
      </c>
      <c r="AV4" t="s">
        <v>38</v>
      </c>
      <c r="AW4" t="s">
        <v>39</v>
      </c>
      <c r="AY4" t="s">
        <v>1</v>
      </c>
      <c r="AZ4" t="s">
        <v>2</v>
      </c>
      <c r="BA4" t="s">
        <v>3</v>
      </c>
      <c r="BB4" t="s">
        <v>4</v>
      </c>
      <c r="BC4" t="s">
        <v>5</v>
      </c>
      <c r="BD4" t="s">
        <v>50</v>
      </c>
      <c r="BE4" t="s">
        <v>51</v>
      </c>
      <c r="BF4" t="s">
        <v>6</v>
      </c>
      <c r="BG4" t="s">
        <v>7</v>
      </c>
      <c r="BH4" t="s">
        <v>8</v>
      </c>
      <c r="BI4" t="s">
        <v>9</v>
      </c>
      <c r="BJ4" t="s">
        <v>10</v>
      </c>
      <c r="BK4" t="s">
        <v>11</v>
      </c>
      <c r="BL4" t="s">
        <v>12</v>
      </c>
      <c r="BM4" t="s">
        <v>13</v>
      </c>
      <c r="BN4" t="s">
        <v>14</v>
      </c>
      <c r="BO4" t="s">
        <v>15</v>
      </c>
      <c r="BP4" t="s">
        <v>16</v>
      </c>
      <c r="BQ4" t="s">
        <v>17</v>
      </c>
      <c r="BR4" t="s">
        <v>18</v>
      </c>
      <c r="BS4" t="s">
        <v>19</v>
      </c>
      <c r="BT4" t="s">
        <v>20</v>
      </c>
      <c r="BU4" t="s">
        <v>21</v>
      </c>
      <c r="BV4" t="s">
        <v>22</v>
      </c>
      <c r="BW4" t="s">
        <v>23</v>
      </c>
      <c r="BX4" t="s">
        <v>24</v>
      </c>
      <c r="BY4" t="s">
        <v>25</v>
      </c>
      <c r="BZ4" t="s">
        <v>26</v>
      </c>
      <c r="CA4" t="s">
        <v>43</v>
      </c>
      <c r="CB4" t="s">
        <v>44</v>
      </c>
      <c r="CC4" t="s">
        <v>45</v>
      </c>
      <c r="CD4" t="s">
        <v>46</v>
      </c>
      <c r="CE4" t="s">
        <v>47</v>
      </c>
      <c r="CF4" t="s">
        <v>48</v>
      </c>
      <c r="CG4" t="s">
        <v>49</v>
      </c>
      <c r="CH4" t="s">
        <v>27</v>
      </c>
      <c r="CI4" t="s">
        <v>28</v>
      </c>
      <c r="CJ4" t="s">
        <v>29</v>
      </c>
      <c r="CK4" t="s">
        <v>30</v>
      </c>
      <c r="CL4" t="s">
        <v>31</v>
      </c>
      <c r="CM4" t="s">
        <v>32</v>
      </c>
      <c r="CN4" t="s">
        <v>33</v>
      </c>
      <c r="CO4" t="s">
        <v>34</v>
      </c>
      <c r="CP4" t="s">
        <v>35</v>
      </c>
      <c r="CQ4" t="s">
        <v>36</v>
      </c>
      <c r="CR4" t="s">
        <v>37</v>
      </c>
      <c r="CS4" t="s">
        <v>38</v>
      </c>
      <c r="CT4" t="s">
        <v>39</v>
      </c>
    </row>
    <row r="5" spans="1:98" x14ac:dyDescent="0.3">
      <c r="A5">
        <v>1985</v>
      </c>
      <c r="B5">
        <v>5282</v>
      </c>
      <c r="C5">
        <v>15375</v>
      </c>
      <c r="F5">
        <v>888</v>
      </c>
      <c r="M5">
        <v>72</v>
      </c>
      <c r="U5">
        <v>15663</v>
      </c>
      <c r="V5">
        <v>2556</v>
      </c>
      <c r="W5">
        <v>611</v>
      </c>
      <c r="AC5">
        <v>6887</v>
      </c>
      <c r="AE5">
        <v>144</v>
      </c>
      <c r="AH5">
        <v>39</v>
      </c>
      <c r="AO5">
        <v>32</v>
      </c>
      <c r="AS5">
        <v>40</v>
      </c>
      <c r="AU5">
        <v>120</v>
      </c>
      <c r="AY5" s="1">
        <f t="shared" ref="AY5" si="4">IF((B5/B$3)&gt;0,(B5/B$3),"")</f>
        <v>1.1209677419354838</v>
      </c>
      <c r="AZ5" s="1">
        <f t="shared" ref="AZ5" si="5">IF((C5/C$3)&gt;0,(C5/C$3),"")</f>
        <v>1.7664292279411764</v>
      </c>
      <c r="BA5" s="1" t="str">
        <f t="shared" ref="BA5" si="6">IF((D5/D$3)&gt;0,(D5/D$3),"")</f>
        <v/>
      </c>
      <c r="BB5" s="1" t="str">
        <f>IF((E5/E$3)&gt;0,(E5/E$3),"")</f>
        <v/>
      </c>
      <c r="BC5" s="1">
        <f>IF((F5/F$3)&gt;0,(F5/F$3),"")</f>
        <v>0.37643069097075033</v>
      </c>
      <c r="BD5" s="1" t="str">
        <f t="shared" ref="BD5:BE5" si="7">IF((G5/G$3)&gt;0,(G5/G$3),"")</f>
        <v/>
      </c>
      <c r="BE5" s="1" t="str">
        <f t="shared" si="7"/>
        <v/>
      </c>
      <c r="BF5" s="1" t="str">
        <f t="shared" ref="BF5:CT5" si="8">IF((I5/I$3)&gt;0,(I5/I$3),"")</f>
        <v/>
      </c>
      <c r="BG5" s="1" t="str">
        <f t="shared" si="8"/>
        <v/>
      </c>
      <c r="BH5" s="1" t="str">
        <f t="shared" si="8"/>
        <v/>
      </c>
      <c r="BI5" s="1" t="str">
        <f t="shared" si="8"/>
        <v/>
      </c>
      <c r="BJ5" s="1">
        <f t="shared" si="8"/>
        <v>0.21301775147928995</v>
      </c>
      <c r="BK5" s="1" t="str">
        <f t="shared" si="8"/>
        <v/>
      </c>
      <c r="BL5" s="1" t="str">
        <f t="shared" si="8"/>
        <v/>
      </c>
      <c r="BM5" s="1" t="str">
        <f t="shared" si="8"/>
        <v/>
      </c>
      <c r="BN5" s="1" t="str">
        <f t="shared" si="8"/>
        <v/>
      </c>
      <c r="BO5" s="1" t="str">
        <f t="shared" si="8"/>
        <v/>
      </c>
      <c r="BP5" s="1" t="str">
        <f t="shared" si="8"/>
        <v/>
      </c>
      <c r="BQ5" s="1" t="str">
        <f t="shared" si="8"/>
        <v/>
      </c>
      <c r="BR5" s="1">
        <f t="shared" si="8"/>
        <v>1.0690737833594977</v>
      </c>
      <c r="BS5" s="1">
        <f t="shared" si="8"/>
        <v>1.338219895287958</v>
      </c>
      <c r="BT5" s="1">
        <f t="shared" si="8"/>
        <v>0.43425728500355365</v>
      </c>
      <c r="BU5" s="1" t="str">
        <f t="shared" si="8"/>
        <v/>
      </c>
      <c r="BV5" s="1" t="str">
        <f t="shared" si="8"/>
        <v/>
      </c>
      <c r="BW5" s="1" t="str">
        <f t="shared" si="8"/>
        <v/>
      </c>
      <c r="BX5" s="1" t="str">
        <f t="shared" si="8"/>
        <v/>
      </c>
      <c r="BY5" s="1" t="str">
        <f t="shared" si="8"/>
        <v/>
      </c>
      <c r="BZ5" s="1">
        <f t="shared" si="8"/>
        <v>0.34561148190896773</v>
      </c>
      <c r="CA5" s="1" t="str">
        <f t="shared" si="8"/>
        <v/>
      </c>
      <c r="CB5" s="1">
        <f t="shared" si="8"/>
        <v>0.2440677966101695</v>
      </c>
      <c r="CC5" s="1" t="str">
        <f t="shared" si="8"/>
        <v/>
      </c>
      <c r="CD5" s="1" t="str">
        <f t="shared" si="8"/>
        <v/>
      </c>
      <c r="CE5" s="1">
        <f t="shared" si="8"/>
        <v>7.4569789674952203E-2</v>
      </c>
      <c r="CF5" s="1" t="str">
        <f t="shared" si="8"/>
        <v/>
      </c>
      <c r="CG5" s="1" t="str">
        <f t="shared" si="8"/>
        <v/>
      </c>
      <c r="CH5" s="1" t="str">
        <f t="shared" si="8"/>
        <v/>
      </c>
      <c r="CI5" s="1" t="str">
        <f t="shared" si="8"/>
        <v/>
      </c>
      <c r="CJ5" s="1" t="str">
        <f t="shared" si="8"/>
        <v/>
      </c>
      <c r="CK5" s="1" t="str">
        <f t="shared" si="8"/>
        <v/>
      </c>
      <c r="CL5" s="1">
        <f t="shared" si="8"/>
        <v>0.10702341137123746</v>
      </c>
      <c r="CM5" s="1" t="str">
        <f t="shared" si="8"/>
        <v/>
      </c>
      <c r="CN5" s="1" t="str">
        <f t="shared" si="8"/>
        <v/>
      </c>
      <c r="CO5" s="1" t="str">
        <f t="shared" si="8"/>
        <v/>
      </c>
      <c r="CP5" s="1">
        <f t="shared" si="8"/>
        <v>4.5506257110352673E-2</v>
      </c>
      <c r="CQ5" s="1" t="str">
        <f t="shared" si="8"/>
        <v/>
      </c>
      <c r="CR5" s="1">
        <f t="shared" si="8"/>
        <v>0.449438202247191</v>
      </c>
      <c r="CS5" s="1" t="str">
        <f t="shared" si="8"/>
        <v/>
      </c>
      <c r="CT5" s="1" t="str">
        <f t="shared" si="8"/>
        <v/>
      </c>
    </row>
    <row r="6" spans="1:98" x14ac:dyDescent="0.3">
      <c r="A6">
        <v>1986</v>
      </c>
      <c r="M6">
        <v>136</v>
      </c>
      <c r="U6">
        <v>16718</v>
      </c>
      <c r="W6">
        <v>1347</v>
      </c>
      <c r="AA6">
        <v>4451</v>
      </c>
      <c r="AC6">
        <v>7617</v>
      </c>
      <c r="AH6">
        <v>89</v>
      </c>
      <c r="AO6">
        <v>35</v>
      </c>
      <c r="AS6">
        <v>45</v>
      </c>
      <c r="AU6">
        <v>118</v>
      </c>
      <c r="AY6" s="1" t="str">
        <f t="shared" ref="AY6:AY44" si="9">IF((B6/B$3)&gt;0,(B6/B$3),"")</f>
        <v/>
      </c>
      <c r="AZ6" s="1" t="str">
        <f t="shared" ref="AZ6:AZ44" si="10">IF((C6/C$3)&gt;0,(C6/C$3),"")</f>
        <v/>
      </c>
      <c r="BA6" s="1" t="str">
        <f t="shared" ref="BA6:BA44" si="11">IF((D6/D$3)&gt;0,(D6/D$3),"")</f>
        <v/>
      </c>
      <c r="BB6" s="1" t="str">
        <f t="shared" ref="BB6:BB44" si="12">IF((E6/E$3)&gt;0,(E6/E$3),"")</f>
        <v/>
      </c>
      <c r="BC6" s="1" t="str">
        <f t="shared" ref="BC6:BC44" si="13">IF((F6/F$3)&gt;0,(F6/F$3),"")</f>
        <v/>
      </c>
      <c r="BD6" s="1" t="str">
        <f t="shared" ref="BD6:BD42" si="14">IF((G6/G$3)&gt;0,(G6/G$3),"")</f>
        <v/>
      </c>
      <c r="BE6" s="1" t="str">
        <f t="shared" ref="BE6:BE42" si="15">IF((H6/H$3)&gt;0,(H6/H$3),"")</f>
        <v/>
      </c>
      <c r="BF6" s="1" t="str">
        <f t="shared" ref="BF6:BF44" si="16">IF((I6/I$3)&gt;0,(I6/I$3),"")</f>
        <v/>
      </c>
      <c r="BG6" s="1" t="str">
        <f t="shared" ref="BG6:BG44" si="17">IF((J6/J$3)&gt;0,(J6/J$3),"")</f>
        <v/>
      </c>
      <c r="BH6" s="1" t="str">
        <f t="shared" ref="BH6:BH44" si="18">IF((K6/K$3)&gt;0,(K6/K$3),"")</f>
        <v/>
      </c>
      <c r="BI6" s="1" t="str">
        <f t="shared" ref="BI6:BI44" si="19">IF((L6/L$3)&gt;0,(L6/L$3),"")</f>
        <v/>
      </c>
      <c r="BJ6" s="1">
        <f t="shared" ref="BJ6:BJ44" si="20">IF((M6/M$3)&gt;0,(M6/M$3),"")</f>
        <v>0.40236686390532544</v>
      </c>
      <c r="BK6" s="1" t="str">
        <f t="shared" ref="BK6:BK44" si="21">IF((N6/N$3)&gt;0,(N6/N$3),"")</f>
        <v/>
      </c>
      <c r="BL6" s="1" t="str">
        <f t="shared" ref="BL6:BL44" si="22">IF((O6/O$3)&gt;0,(O6/O$3),"")</f>
        <v/>
      </c>
      <c r="BM6" s="1" t="str">
        <f t="shared" ref="BM6:BM44" si="23">IF((P6/P$3)&gt;0,(P6/P$3),"")</f>
        <v/>
      </c>
      <c r="BN6" s="1" t="str">
        <f t="shared" ref="BN6:BN44" si="24">IF((Q6/Q$3)&gt;0,(Q6/Q$3),"")</f>
        <v/>
      </c>
      <c r="BO6" s="1" t="str">
        <f t="shared" ref="BO6:BO44" si="25">IF((R6/R$3)&gt;0,(R6/R$3),"")</f>
        <v/>
      </c>
      <c r="BP6" s="1" t="str">
        <f t="shared" ref="BP6:BP44" si="26">IF((S6/S$3)&gt;0,(S6/S$3),"")</f>
        <v/>
      </c>
      <c r="BQ6" s="1" t="str">
        <f t="shared" ref="BQ6:BQ44" si="27">IF((T6/T$3)&gt;0,(T6/T$3),"")</f>
        <v/>
      </c>
      <c r="BR6" s="1">
        <f t="shared" ref="BR6:BR44" si="28">IF((U6/U$3)&gt;0,(U6/U$3),"")</f>
        <v>1.1410825199645076</v>
      </c>
      <c r="BS6" s="1" t="str">
        <f t="shared" ref="BS6:BS44" si="29">IF((V6/V$3)&gt;0,(V6/V$3),"")</f>
        <v/>
      </c>
      <c r="BT6" s="1">
        <f t="shared" ref="BT6:BT44" si="30">IF((W6/W$3)&gt;0,(W6/W$3),"")</f>
        <v>0.95735607675906187</v>
      </c>
      <c r="BU6" s="1" t="str">
        <f t="shared" ref="BU6:BU44" si="31">IF((X6/X$3)&gt;0,(X6/X$3),"")</f>
        <v/>
      </c>
      <c r="BV6" s="1" t="str">
        <f t="shared" ref="BV6:BV44" si="32">IF((Y6/Y$3)&gt;0,(Y6/Y$3),"")</f>
        <v/>
      </c>
      <c r="BW6" s="1" t="str">
        <f t="shared" ref="BW6:BW44" si="33">IF((Z6/Z$3)&gt;0,(Z6/Z$3),"")</f>
        <v/>
      </c>
      <c r="BX6" s="1">
        <f t="shared" ref="BX6:BX44" si="34">IF((AA6/AA$3)&gt;0,(AA6/AA$3),"")</f>
        <v>0.88086285375024742</v>
      </c>
      <c r="BY6" s="1" t="str">
        <f t="shared" ref="BY6:BY44" si="35">IF((AB6/AB$3)&gt;0,(AB6/AB$3),"")</f>
        <v/>
      </c>
      <c r="BZ6" s="1">
        <f t="shared" ref="BZ6:BZ42" si="36">IF((AC6/AC$3)&gt;0,(AC6/AC$3),"")</f>
        <v>0.38224519496160986</v>
      </c>
      <c r="CA6" s="1" t="str">
        <f t="shared" ref="CA6:CA42" si="37">IF((AD6/AD$3)&gt;0,(AD6/AD$3),"")</f>
        <v/>
      </c>
      <c r="CB6" s="1" t="str">
        <f t="shared" ref="CB6:CB42" si="38">IF((AE6/AE$3)&gt;0,(AE6/AE$3),"")</f>
        <v/>
      </c>
      <c r="CC6" s="1" t="str">
        <f t="shared" ref="CC6:CC42" si="39">IF((AF6/AF$3)&gt;0,(AF6/AF$3),"")</f>
        <v/>
      </c>
      <c r="CD6" s="1" t="str">
        <f t="shared" ref="CD6:CD42" si="40">IF((AG6/AG$3)&gt;0,(AG6/AG$3),"")</f>
        <v/>
      </c>
      <c r="CE6" s="1">
        <f t="shared" ref="CE6:CE42" si="41">IF((AH6/AH$3)&gt;0,(AH6/AH$3),"")</f>
        <v>0.17017208413001911</v>
      </c>
      <c r="CF6" s="1" t="str">
        <f t="shared" ref="CF6:CF42" si="42">IF((AI6/AI$3)&gt;0,(AI6/AI$3),"")</f>
        <v/>
      </c>
      <c r="CG6" s="1" t="str">
        <f t="shared" ref="CG6:CG42" si="43">IF((AJ6/AJ$3)&gt;0,(AJ6/AJ$3),"")</f>
        <v/>
      </c>
      <c r="CH6" s="1" t="str">
        <f t="shared" ref="CH6:CH42" si="44">IF((AK6/AK$3)&gt;0,(AK6/AK$3),"")</f>
        <v/>
      </c>
      <c r="CI6" s="1" t="str">
        <f t="shared" ref="CI6:CI44" si="45">IF((AL6/AL$3)&gt;0,(AL6/AL$3),"")</f>
        <v/>
      </c>
      <c r="CJ6" s="1" t="str">
        <f t="shared" ref="CJ6:CJ44" si="46">IF((AM6/AM$3)&gt;0,(AM6/AM$3),"")</f>
        <v/>
      </c>
      <c r="CK6" s="1" t="str">
        <f t="shared" ref="CK6:CK44" si="47">IF((AN6/AN$3)&gt;0,(AN6/AN$3),"")</f>
        <v/>
      </c>
      <c r="CL6" s="1">
        <f t="shared" ref="CL6:CL44" si="48">IF((AO6/AO$3)&gt;0,(AO6/AO$3),"")</f>
        <v>0.11705685618729098</v>
      </c>
      <c r="CM6" s="1" t="str">
        <f t="shared" ref="CM6:CM44" si="49">IF((AP6/AP$3)&gt;0,(AP6/AP$3),"")</f>
        <v/>
      </c>
      <c r="CN6" s="1" t="str">
        <f t="shared" ref="CN6:CN44" si="50">IF((AQ6/AQ$3)&gt;0,(AQ6/AQ$3),"")</f>
        <v/>
      </c>
      <c r="CO6" s="1" t="str">
        <f t="shared" ref="CO6:CO44" si="51">IF((AR6/AR$3)&gt;0,(AR6/AR$3),"")</f>
        <v/>
      </c>
      <c r="CP6" s="1">
        <f t="shared" ref="CP6:CP44" si="52">IF((AS6/AS$3)&gt;0,(AS6/AS$3),"")</f>
        <v>5.1194539249146756E-2</v>
      </c>
      <c r="CQ6" s="1" t="str">
        <f t="shared" ref="CQ6:CQ44" si="53">IF((AT6/AT$3)&gt;0,(AT6/AT$3),"")</f>
        <v/>
      </c>
      <c r="CR6" s="1">
        <f t="shared" ref="CR6:CR44" si="54">IF((AU6/AU$3)&gt;0,(AU6/AU$3),"")</f>
        <v>0.44194756554307119</v>
      </c>
      <c r="CS6" s="1" t="str">
        <f t="shared" ref="CS6:CS44" si="55">IF((AV6/AV$3)&gt;0,(AV6/AV$3),"")</f>
        <v/>
      </c>
      <c r="CT6" s="1" t="str">
        <f t="shared" ref="CT6:CT44" si="56">IF((AW6/AW$3)&gt;0,(AW6/AW$3),"")</f>
        <v/>
      </c>
    </row>
    <row r="7" spans="1:98" x14ac:dyDescent="0.3">
      <c r="A7">
        <v>1987</v>
      </c>
      <c r="C7">
        <v>15000</v>
      </c>
      <c r="F7">
        <v>440</v>
      </c>
      <c r="U7">
        <v>19264</v>
      </c>
      <c r="V7">
        <v>1567</v>
      </c>
      <c r="W7">
        <v>627</v>
      </c>
      <c r="AA7">
        <v>3802</v>
      </c>
      <c r="AC7">
        <v>6898</v>
      </c>
      <c r="AN7">
        <v>1000</v>
      </c>
      <c r="AO7">
        <v>41</v>
      </c>
      <c r="AS7">
        <v>63</v>
      </c>
      <c r="AU7">
        <v>121</v>
      </c>
      <c r="AY7" s="1" t="str">
        <f t="shared" si="9"/>
        <v/>
      </c>
      <c r="AZ7" s="1">
        <f t="shared" si="10"/>
        <v>1.7233455882352942</v>
      </c>
      <c r="BA7" s="1" t="str">
        <f t="shared" si="11"/>
        <v/>
      </c>
      <c r="BB7" s="1" t="str">
        <f t="shared" si="12"/>
        <v/>
      </c>
      <c r="BC7" s="1">
        <f t="shared" si="13"/>
        <v>0.18651971174226367</v>
      </c>
      <c r="BD7" s="1" t="str">
        <f t="shared" si="14"/>
        <v/>
      </c>
      <c r="BE7" s="1" t="str">
        <f t="shared" si="15"/>
        <v/>
      </c>
      <c r="BF7" s="1" t="str">
        <f t="shared" si="16"/>
        <v/>
      </c>
      <c r="BG7" s="1" t="str">
        <f t="shared" si="17"/>
        <v/>
      </c>
      <c r="BH7" s="1" t="str">
        <f t="shared" si="18"/>
        <v/>
      </c>
      <c r="BI7" s="1" t="str">
        <f t="shared" si="19"/>
        <v/>
      </c>
      <c r="BJ7" s="1" t="str">
        <f t="shared" si="20"/>
        <v/>
      </c>
      <c r="BK7" s="1" t="str">
        <f t="shared" si="21"/>
        <v/>
      </c>
      <c r="BL7" s="1" t="str">
        <f t="shared" si="22"/>
        <v/>
      </c>
      <c r="BM7" s="1" t="str">
        <f t="shared" si="23"/>
        <v/>
      </c>
      <c r="BN7" s="1" t="str">
        <f t="shared" si="24"/>
        <v/>
      </c>
      <c r="BO7" s="1" t="str">
        <f t="shared" si="25"/>
        <v/>
      </c>
      <c r="BP7" s="1" t="str">
        <f t="shared" si="26"/>
        <v/>
      </c>
      <c r="BQ7" s="1" t="str">
        <f t="shared" si="27"/>
        <v/>
      </c>
      <c r="BR7" s="1">
        <f t="shared" si="28"/>
        <v>1.3148590539894889</v>
      </c>
      <c r="BS7" s="1">
        <f t="shared" si="29"/>
        <v>0.82041884816753929</v>
      </c>
      <c r="BT7" s="1">
        <f t="shared" si="30"/>
        <v>0.44562899786780386</v>
      </c>
      <c r="BU7" s="1" t="str">
        <f t="shared" si="31"/>
        <v/>
      </c>
      <c r="BV7" s="1" t="str">
        <f t="shared" si="32"/>
        <v/>
      </c>
      <c r="BW7" s="1" t="str">
        <f t="shared" si="33"/>
        <v/>
      </c>
      <c r="BX7" s="1">
        <f t="shared" si="34"/>
        <v>0.75242430239461711</v>
      </c>
      <c r="BY7" s="1" t="str">
        <f t="shared" si="35"/>
        <v/>
      </c>
      <c r="BZ7" s="1">
        <f t="shared" si="36"/>
        <v>0.34616349676318564</v>
      </c>
      <c r="CA7" s="1" t="str">
        <f t="shared" si="37"/>
        <v/>
      </c>
      <c r="CB7" s="1" t="str">
        <f t="shared" si="38"/>
        <v/>
      </c>
      <c r="CC7" s="1" t="str">
        <f t="shared" si="39"/>
        <v/>
      </c>
      <c r="CD7" s="1" t="str">
        <f t="shared" si="40"/>
        <v/>
      </c>
      <c r="CE7" s="1" t="str">
        <f t="shared" si="41"/>
        <v/>
      </c>
      <c r="CF7" s="1" t="str">
        <f t="shared" si="42"/>
        <v/>
      </c>
      <c r="CG7" s="1" t="str">
        <f t="shared" si="43"/>
        <v/>
      </c>
      <c r="CH7" s="1" t="str">
        <f t="shared" si="44"/>
        <v/>
      </c>
      <c r="CI7" s="1" t="str">
        <f t="shared" si="45"/>
        <v/>
      </c>
      <c r="CJ7" s="1" t="str">
        <f t="shared" si="46"/>
        <v/>
      </c>
      <c r="CK7" s="1">
        <f t="shared" si="47"/>
        <v>0.96153846153846156</v>
      </c>
      <c r="CL7" s="1">
        <f t="shared" si="48"/>
        <v>0.13712374581939799</v>
      </c>
      <c r="CM7" s="1" t="str">
        <f t="shared" si="49"/>
        <v/>
      </c>
      <c r="CN7" s="1" t="str">
        <f t="shared" si="50"/>
        <v/>
      </c>
      <c r="CO7" s="1" t="str">
        <f t="shared" si="51"/>
        <v/>
      </c>
      <c r="CP7" s="1">
        <f t="shared" si="52"/>
        <v>7.1672354948805458E-2</v>
      </c>
      <c r="CQ7" s="1" t="str">
        <f t="shared" si="53"/>
        <v/>
      </c>
      <c r="CR7" s="1">
        <f t="shared" si="54"/>
        <v>0.45318352059925093</v>
      </c>
      <c r="CS7" s="1" t="str">
        <f t="shared" si="55"/>
        <v/>
      </c>
      <c r="CT7" s="1" t="str">
        <f t="shared" si="56"/>
        <v/>
      </c>
    </row>
    <row r="8" spans="1:98" x14ac:dyDescent="0.3">
      <c r="A8">
        <v>1988</v>
      </c>
      <c r="C8">
        <v>2400</v>
      </c>
      <c r="M8">
        <v>169</v>
      </c>
      <c r="U8">
        <v>21590</v>
      </c>
      <c r="V8">
        <v>1999</v>
      </c>
      <c r="AC8">
        <v>7344</v>
      </c>
      <c r="AE8">
        <v>268</v>
      </c>
      <c r="AH8">
        <v>129</v>
      </c>
      <c r="AO8">
        <v>56</v>
      </c>
      <c r="AS8">
        <v>92</v>
      </c>
      <c r="AU8">
        <v>140</v>
      </c>
      <c r="AY8" s="1" t="str">
        <f t="shared" si="9"/>
        <v/>
      </c>
      <c r="AZ8" s="1">
        <f t="shared" si="10"/>
        <v>0.27573529411764708</v>
      </c>
      <c r="BA8" s="1" t="str">
        <f t="shared" si="11"/>
        <v/>
      </c>
      <c r="BB8" s="1" t="str">
        <f t="shared" si="12"/>
        <v/>
      </c>
      <c r="BC8" s="1" t="str">
        <f t="shared" si="13"/>
        <v/>
      </c>
      <c r="BD8" s="1" t="str">
        <f t="shared" si="14"/>
        <v/>
      </c>
      <c r="BE8" s="1" t="str">
        <f t="shared" si="15"/>
        <v/>
      </c>
      <c r="BF8" s="1" t="str">
        <f t="shared" si="16"/>
        <v/>
      </c>
      <c r="BG8" s="1" t="str">
        <f t="shared" si="17"/>
        <v/>
      </c>
      <c r="BH8" s="1" t="str">
        <f t="shared" si="18"/>
        <v/>
      </c>
      <c r="BI8" s="1" t="str">
        <f t="shared" si="19"/>
        <v/>
      </c>
      <c r="BJ8" s="1">
        <f t="shared" si="20"/>
        <v>0.5</v>
      </c>
      <c r="BK8" s="1" t="str">
        <f t="shared" si="21"/>
        <v/>
      </c>
      <c r="BL8" s="1" t="str">
        <f t="shared" si="22"/>
        <v/>
      </c>
      <c r="BM8" s="1" t="str">
        <f t="shared" si="23"/>
        <v/>
      </c>
      <c r="BN8" s="1" t="str">
        <f t="shared" si="24"/>
        <v/>
      </c>
      <c r="BO8" s="1" t="str">
        <f t="shared" si="25"/>
        <v/>
      </c>
      <c r="BP8" s="1" t="str">
        <f t="shared" si="26"/>
        <v/>
      </c>
      <c r="BQ8" s="1" t="str">
        <f t="shared" si="27"/>
        <v/>
      </c>
      <c r="BR8" s="1">
        <f t="shared" si="28"/>
        <v>1.4736195481537095</v>
      </c>
      <c r="BS8" s="1">
        <f t="shared" si="29"/>
        <v>1.0465968586387435</v>
      </c>
      <c r="BT8" s="1" t="str">
        <f t="shared" si="30"/>
        <v/>
      </c>
      <c r="BU8" s="1" t="str">
        <f t="shared" si="31"/>
        <v/>
      </c>
      <c r="BV8" s="1" t="str">
        <f t="shared" si="32"/>
        <v/>
      </c>
      <c r="BW8" s="1" t="str">
        <f t="shared" si="33"/>
        <v/>
      </c>
      <c r="BX8" s="1" t="str">
        <f t="shared" si="34"/>
        <v/>
      </c>
      <c r="BY8" s="1" t="str">
        <f t="shared" si="35"/>
        <v/>
      </c>
      <c r="BZ8" s="1">
        <f t="shared" si="36"/>
        <v>0.36854518994329299</v>
      </c>
      <c r="CA8" s="1" t="str">
        <f t="shared" si="37"/>
        <v/>
      </c>
      <c r="CB8" s="1">
        <f t="shared" si="38"/>
        <v>0.45423728813559322</v>
      </c>
      <c r="CC8" s="1" t="str">
        <f t="shared" si="39"/>
        <v/>
      </c>
      <c r="CD8" s="1" t="str">
        <f t="shared" si="40"/>
        <v/>
      </c>
      <c r="CE8" s="1">
        <f t="shared" si="41"/>
        <v>0.24665391969407266</v>
      </c>
      <c r="CF8" s="1" t="str">
        <f t="shared" si="42"/>
        <v/>
      </c>
      <c r="CG8" s="1" t="str">
        <f t="shared" si="43"/>
        <v/>
      </c>
      <c r="CH8" s="1" t="str">
        <f t="shared" si="44"/>
        <v/>
      </c>
      <c r="CI8" s="1" t="str">
        <f t="shared" si="45"/>
        <v/>
      </c>
      <c r="CJ8" s="1" t="str">
        <f t="shared" si="46"/>
        <v/>
      </c>
      <c r="CK8" s="1" t="str">
        <f t="shared" si="47"/>
        <v/>
      </c>
      <c r="CL8" s="1">
        <f t="shared" si="48"/>
        <v>0.18729096989966554</v>
      </c>
      <c r="CM8" s="1" t="str">
        <f t="shared" si="49"/>
        <v/>
      </c>
      <c r="CN8" s="1" t="str">
        <f t="shared" si="50"/>
        <v/>
      </c>
      <c r="CO8" s="1" t="str">
        <f t="shared" si="51"/>
        <v/>
      </c>
      <c r="CP8" s="1">
        <f t="shared" si="52"/>
        <v>0.10466439135381114</v>
      </c>
      <c r="CQ8" s="1" t="str">
        <f t="shared" si="53"/>
        <v/>
      </c>
      <c r="CR8" s="1">
        <f t="shared" si="54"/>
        <v>0.52434456928838946</v>
      </c>
      <c r="CS8" s="1" t="str">
        <f t="shared" si="55"/>
        <v/>
      </c>
      <c r="CT8" s="1" t="str">
        <f t="shared" si="56"/>
        <v/>
      </c>
    </row>
    <row r="9" spans="1:98" x14ac:dyDescent="0.3">
      <c r="A9">
        <v>1989</v>
      </c>
      <c r="B9">
        <v>5077</v>
      </c>
      <c r="C9">
        <v>5400</v>
      </c>
      <c r="K9">
        <v>593</v>
      </c>
      <c r="M9">
        <v>179</v>
      </c>
      <c r="Q9">
        <v>30810</v>
      </c>
      <c r="U9">
        <v>23493</v>
      </c>
      <c r="V9">
        <v>4525</v>
      </c>
      <c r="W9">
        <v>1523</v>
      </c>
      <c r="AA9">
        <v>5286</v>
      </c>
      <c r="AC9">
        <v>7468</v>
      </c>
      <c r="AE9">
        <v>395</v>
      </c>
      <c r="AH9">
        <v>153</v>
      </c>
      <c r="AO9">
        <v>54</v>
      </c>
      <c r="AS9">
        <v>127</v>
      </c>
      <c r="AU9">
        <v>151</v>
      </c>
      <c r="AV9">
        <v>48</v>
      </c>
      <c r="AY9" s="1">
        <f t="shared" si="9"/>
        <v>1.0774617996604414</v>
      </c>
      <c r="AZ9" s="1">
        <f t="shared" si="10"/>
        <v>0.62040441176470584</v>
      </c>
      <c r="BA9" s="1" t="str">
        <f t="shared" si="11"/>
        <v/>
      </c>
      <c r="BB9" s="1" t="str">
        <f t="shared" si="12"/>
        <v/>
      </c>
      <c r="BC9" s="1" t="str">
        <f t="shared" si="13"/>
        <v/>
      </c>
      <c r="BD9" s="1" t="str">
        <f t="shared" si="14"/>
        <v/>
      </c>
      <c r="BE9" s="1" t="str">
        <f t="shared" si="15"/>
        <v/>
      </c>
      <c r="BF9" s="1" t="str">
        <f t="shared" si="16"/>
        <v/>
      </c>
      <c r="BG9" s="1" t="str">
        <f t="shared" si="17"/>
        <v/>
      </c>
      <c r="BH9" s="1">
        <f t="shared" si="18"/>
        <v>0.15434669442998439</v>
      </c>
      <c r="BI9" s="1" t="str">
        <f t="shared" si="19"/>
        <v/>
      </c>
      <c r="BJ9" s="1">
        <f t="shared" si="20"/>
        <v>0.52958579881656809</v>
      </c>
      <c r="BK9" s="1" t="str">
        <f t="shared" si="21"/>
        <v/>
      </c>
      <c r="BL9" s="1" t="str">
        <f t="shared" si="22"/>
        <v/>
      </c>
      <c r="BM9" s="1" t="str">
        <f t="shared" si="23"/>
        <v/>
      </c>
      <c r="BN9" s="1">
        <f t="shared" si="24"/>
        <v>2.8009090909090908</v>
      </c>
      <c r="BO9" s="1" t="str">
        <f t="shared" si="25"/>
        <v/>
      </c>
      <c r="BP9" s="1" t="str">
        <f t="shared" si="26"/>
        <v/>
      </c>
      <c r="BQ9" s="1" t="str">
        <f t="shared" si="27"/>
        <v/>
      </c>
      <c r="BR9" s="1">
        <f t="shared" si="28"/>
        <v>1.6035082929492868</v>
      </c>
      <c r="BS9" s="1">
        <f t="shared" si="29"/>
        <v>2.3691099476439792</v>
      </c>
      <c r="BT9" s="1">
        <f t="shared" si="30"/>
        <v>1.0824449182658138</v>
      </c>
      <c r="BU9" s="1" t="str">
        <f t="shared" si="31"/>
        <v/>
      </c>
      <c r="BV9" s="1" t="str">
        <f t="shared" si="32"/>
        <v/>
      </c>
      <c r="BW9" s="1" t="str">
        <f t="shared" si="33"/>
        <v/>
      </c>
      <c r="BX9" s="1">
        <f t="shared" si="34"/>
        <v>1.046111221056798</v>
      </c>
      <c r="BY9" s="1" t="str">
        <f t="shared" si="35"/>
        <v/>
      </c>
      <c r="BZ9" s="1">
        <f t="shared" si="36"/>
        <v>0.37476790284538564</v>
      </c>
      <c r="CA9" s="1" t="str">
        <f t="shared" si="37"/>
        <v/>
      </c>
      <c r="CB9" s="1">
        <f t="shared" si="38"/>
        <v>0.66949152542372881</v>
      </c>
      <c r="CC9" s="1" t="str">
        <f t="shared" si="39"/>
        <v/>
      </c>
      <c r="CD9" s="1" t="str">
        <f t="shared" si="40"/>
        <v/>
      </c>
      <c r="CE9" s="1">
        <f t="shared" si="41"/>
        <v>0.29254302103250479</v>
      </c>
      <c r="CF9" s="1" t="str">
        <f t="shared" si="42"/>
        <v/>
      </c>
      <c r="CG9" s="1" t="str">
        <f t="shared" si="43"/>
        <v/>
      </c>
      <c r="CH9" s="1" t="str">
        <f t="shared" si="44"/>
        <v/>
      </c>
      <c r="CI9" s="1" t="str">
        <f t="shared" si="45"/>
        <v/>
      </c>
      <c r="CJ9" s="1" t="str">
        <f t="shared" si="46"/>
        <v/>
      </c>
      <c r="CK9" s="1" t="str">
        <f t="shared" si="47"/>
        <v/>
      </c>
      <c r="CL9" s="1">
        <f t="shared" si="48"/>
        <v>0.1806020066889632</v>
      </c>
      <c r="CM9" s="1" t="str">
        <f t="shared" si="49"/>
        <v/>
      </c>
      <c r="CN9" s="1" t="str">
        <f t="shared" si="50"/>
        <v/>
      </c>
      <c r="CO9" s="1" t="str">
        <f t="shared" si="51"/>
        <v/>
      </c>
      <c r="CP9" s="1">
        <f t="shared" si="52"/>
        <v>0.14448236632536973</v>
      </c>
      <c r="CQ9" s="1" t="str">
        <f t="shared" si="53"/>
        <v/>
      </c>
      <c r="CR9" s="1">
        <f t="shared" si="54"/>
        <v>0.56554307116104874</v>
      </c>
      <c r="CS9" s="1">
        <f t="shared" si="55"/>
        <v>8.98876404494382E-2</v>
      </c>
      <c r="CT9" s="1" t="str">
        <f t="shared" si="56"/>
        <v/>
      </c>
    </row>
    <row r="10" spans="1:98" x14ac:dyDescent="0.3">
      <c r="A10">
        <v>1990</v>
      </c>
      <c r="C10">
        <v>5500</v>
      </c>
      <c r="M10">
        <v>491</v>
      </c>
      <c r="U10">
        <v>28729</v>
      </c>
      <c r="AB10">
        <v>40</v>
      </c>
      <c r="AC10">
        <v>7287</v>
      </c>
      <c r="AD10">
        <v>31</v>
      </c>
      <c r="AH10">
        <v>167</v>
      </c>
      <c r="AI10">
        <v>10</v>
      </c>
      <c r="AJ10">
        <v>60</v>
      </c>
      <c r="AO10">
        <v>48</v>
      </c>
      <c r="AS10">
        <v>150</v>
      </c>
      <c r="AU10">
        <v>161</v>
      </c>
      <c r="AY10" s="1" t="str">
        <f t="shared" si="9"/>
        <v/>
      </c>
      <c r="AZ10" s="1">
        <f t="shared" si="10"/>
        <v>0.63189338235294112</v>
      </c>
      <c r="BA10" s="1" t="str">
        <f t="shared" si="11"/>
        <v/>
      </c>
      <c r="BB10" s="1" t="str">
        <f t="shared" si="12"/>
        <v/>
      </c>
      <c r="BC10" s="1" t="str">
        <f t="shared" si="13"/>
        <v/>
      </c>
      <c r="BD10" s="1" t="str">
        <f t="shared" si="14"/>
        <v/>
      </c>
      <c r="BE10" s="1" t="str">
        <f t="shared" si="15"/>
        <v/>
      </c>
      <c r="BF10" s="1" t="str">
        <f t="shared" si="16"/>
        <v/>
      </c>
      <c r="BG10" s="1" t="str">
        <f t="shared" si="17"/>
        <v/>
      </c>
      <c r="BH10" s="1" t="str">
        <f t="shared" si="18"/>
        <v/>
      </c>
      <c r="BI10" s="1" t="str">
        <f t="shared" si="19"/>
        <v/>
      </c>
      <c r="BJ10" s="1">
        <f t="shared" si="20"/>
        <v>1.4526627218934911</v>
      </c>
      <c r="BK10" s="1" t="str">
        <f t="shared" si="21"/>
        <v/>
      </c>
      <c r="BL10" s="1" t="str">
        <f t="shared" si="22"/>
        <v/>
      </c>
      <c r="BM10" s="1" t="str">
        <f t="shared" si="23"/>
        <v/>
      </c>
      <c r="BN10" s="1" t="str">
        <f t="shared" si="24"/>
        <v/>
      </c>
      <c r="BO10" s="1" t="str">
        <f t="shared" si="25"/>
        <v/>
      </c>
      <c r="BP10" s="1" t="str">
        <f t="shared" si="26"/>
        <v/>
      </c>
      <c r="BQ10" s="1" t="str">
        <f t="shared" si="27"/>
        <v/>
      </c>
      <c r="BR10" s="1">
        <f t="shared" si="28"/>
        <v>1.9608900416353832</v>
      </c>
      <c r="BS10" s="1" t="str">
        <f t="shared" si="29"/>
        <v/>
      </c>
      <c r="BT10" s="1" t="str">
        <f t="shared" si="30"/>
        <v/>
      </c>
      <c r="BU10" s="1" t="str">
        <f t="shared" si="31"/>
        <v/>
      </c>
      <c r="BV10" s="1" t="str">
        <f t="shared" si="32"/>
        <v/>
      </c>
      <c r="BW10" s="1" t="str">
        <f t="shared" si="33"/>
        <v/>
      </c>
      <c r="BX10" s="1" t="str">
        <f t="shared" si="34"/>
        <v/>
      </c>
      <c r="BY10" s="1">
        <f t="shared" si="35"/>
        <v>0.11019283746556474</v>
      </c>
      <c r="BZ10" s="1">
        <f t="shared" si="36"/>
        <v>0.365684749335073</v>
      </c>
      <c r="CA10" s="1">
        <f t="shared" si="37"/>
        <v>0.12449799196787148</v>
      </c>
      <c r="CB10" s="1" t="str">
        <f t="shared" si="38"/>
        <v/>
      </c>
      <c r="CC10" s="1" t="str">
        <f t="shared" si="39"/>
        <v/>
      </c>
      <c r="CD10" s="1" t="str">
        <f t="shared" si="40"/>
        <v/>
      </c>
      <c r="CE10" s="1">
        <f t="shared" si="41"/>
        <v>0.31931166347992351</v>
      </c>
      <c r="CF10" s="1">
        <f t="shared" si="42"/>
        <v>5.7803468208092484E-2</v>
      </c>
      <c r="CG10" s="1">
        <f t="shared" si="43"/>
        <v>0.10067114093959731</v>
      </c>
      <c r="CH10" s="1" t="str">
        <f t="shared" si="44"/>
        <v/>
      </c>
      <c r="CI10" s="1" t="str">
        <f t="shared" si="45"/>
        <v/>
      </c>
      <c r="CJ10" s="1" t="str">
        <f t="shared" si="46"/>
        <v/>
      </c>
      <c r="CK10" s="1" t="str">
        <f t="shared" si="47"/>
        <v/>
      </c>
      <c r="CL10" s="1">
        <f t="shared" si="48"/>
        <v>0.16053511705685619</v>
      </c>
      <c r="CM10" s="1" t="str">
        <f t="shared" si="49"/>
        <v/>
      </c>
      <c r="CN10" s="1" t="str">
        <f t="shared" si="50"/>
        <v/>
      </c>
      <c r="CO10" s="1" t="str">
        <f t="shared" si="51"/>
        <v/>
      </c>
      <c r="CP10" s="1">
        <f t="shared" si="52"/>
        <v>0.17064846416382254</v>
      </c>
      <c r="CQ10" s="1" t="str">
        <f t="shared" si="53"/>
        <v/>
      </c>
      <c r="CR10" s="1">
        <f t="shared" si="54"/>
        <v>0.60299625468164797</v>
      </c>
      <c r="CS10" s="1" t="str">
        <f t="shared" si="55"/>
        <v/>
      </c>
      <c r="CT10" s="1" t="str">
        <f t="shared" si="56"/>
        <v/>
      </c>
    </row>
    <row r="11" spans="1:98" x14ac:dyDescent="0.3">
      <c r="A11">
        <v>1991</v>
      </c>
      <c r="G11">
        <v>328</v>
      </c>
      <c r="N11">
        <v>5927</v>
      </c>
      <c r="O11">
        <v>1187</v>
      </c>
      <c r="U11">
        <v>32917</v>
      </c>
      <c r="X11">
        <v>696</v>
      </c>
      <c r="AA11">
        <v>6406</v>
      </c>
      <c r="AC11">
        <v>7470</v>
      </c>
      <c r="AU11">
        <v>173</v>
      </c>
      <c r="AY11" s="1" t="str">
        <f t="shared" si="9"/>
        <v/>
      </c>
      <c r="AZ11" s="1" t="str">
        <f t="shared" si="10"/>
        <v/>
      </c>
      <c r="BA11" s="1" t="str">
        <f t="shared" si="11"/>
        <v/>
      </c>
      <c r="BB11" s="1" t="str">
        <f t="shared" si="12"/>
        <v/>
      </c>
      <c r="BC11" s="1" t="str">
        <f t="shared" si="13"/>
        <v/>
      </c>
      <c r="BD11" s="1">
        <f t="shared" si="14"/>
        <v>7.9169683804006755E-2</v>
      </c>
      <c r="BE11" s="1" t="str">
        <f t="shared" si="15"/>
        <v/>
      </c>
      <c r="BF11" s="1" t="str">
        <f t="shared" si="16"/>
        <v/>
      </c>
      <c r="BG11" s="1" t="str">
        <f t="shared" si="17"/>
        <v/>
      </c>
      <c r="BH11" s="1" t="str">
        <f t="shared" si="18"/>
        <v/>
      </c>
      <c r="BI11" s="1" t="str">
        <f t="shared" si="19"/>
        <v/>
      </c>
      <c r="BJ11" s="1" t="str">
        <f t="shared" si="20"/>
        <v/>
      </c>
      <c r="BK11" s="1">
        <f t="shared" si="21"/>
        <v>0.26567752924828547</v>
      </c>
      <c r="BL11" s="1">
        <f t="shared" si="22"/>
        <v>0.2650736936132202</v>
      </c>
      <c r="BM11" s="1" t="str">
        <f t="shared" si="23"/>
        <v/>
      </c>
      <c r="BN11" s="1" t="str">
        <f t="shared" si="24"/>
        <v/>
      </c>
      <c r="BO11" s="1" t="str">
        <f t="shared" si="25"/>
        <v/>
      </c>
      <c r="BP11" s="1" t="str">
        <f t="shared" si="26"/>
        <v/>
      </c>
      <c r="BQ11" s="1" t="str">
        <f t="shared" si="27"/>
        <v/>
      </c>
      <c r="BR11" s="1">
        <f t="shared" si="28"/>
        <v>2.2467408368029487</v>
      </c>
      <c r="BS11" s="1" t="str">
        <f t="shared" si="29"/>
        <v/>
      </c>
      <c r="BT11" s="1" t="str">
        <f t="shared" si="30"/>
        <v/>
      </c>
      <c r="BU11" s="1">
        <f t="shared" si="31"/>
        <v>0.89230769230769236</v>
      </c>
      <c r="BV11" s="1" t="str">
        <f t="shared" si="32"/>
        <v/>
      </c>
      <c r="BW11" s="1" t="str">
        <f t="shared" si="33"/>
        <v/>
      </c>
      <c r="BX11" s="1">
        <f t="shared" si="34"/>
        <v>1.2677617257075005</v>
      </c>
      <c r="BY11" s="1" t="str">
        <f t="shared" si="35"/>
        <v/>
      </c>
      <c r="BZ11" s="1">
        <f t="shared" si="36"/>
        <v>0.3748682691825162</v>
      </c>
      <c r="CA11" s="1" t="str">
        <f t="shared" si="37"/>
        <v/>
      </c>
      <c r="CB11" s="1" t="str">
        <f t="shared" si="38"/>
        <v/>
      </c>
      <c r="CC11" s="1" t="str">
        <f t="shared" si="39"/>
        <v/>
      </c>
      <c r="CD11" s="1" t="str">
        <f t="shared" si="40"/>
        <v/>
      </c>
      <c r="CE11" s="1" t="str">
        <f t="shared" si="41"/>
        <v/>
      </c>
      <c r="CF11" s="1" t="str">
        <f t="shared" si="42"/>
        <v/>
      </c>
      <c r="CG11" s="1" t="str">
        <f t="shared" si="43"/>
        <v/>
      </c>
      <c r="CH11" s="1" t="str">
        <f t="shared" si="44"/>
        <v/>
      </c>
      <c r="CI11" s="1" t="str">
        <f t="shared" si="45"/>
        <v/>
      </c>
      <c r="CJ11" s="1" t="str">
        <f t="shared" si="46"/>
        <v/>
      </c>
      <c r="CK11" s="1" t="str">
        <f t="shared" si="47"/>
        <v/>
      </c>
      <c r="CL11" s="1" t="str">
        <f t="shared" si="48"/>
        <v/>
      </c>
      <c r="CM11" s="1" t="str">
        <f t="shared" si="49"/>
        <v/>
      </c>
      <c r="CN11" s="1" t="str">
        <f t="shared" si="50"/>
        <v/>
      </c>
      <c r="CO11" s="1" t="str">
        <f t="shared" si="51"/>
        <v/>
      </c>
      <c r="CP11" s="1" t="str">
        <f t="shared" si="52"/>
        <v/>
      </c>
      <c r="CQ11" s="1" t="str">
        <f t="shared" si="53"/>
        <v/>
      </c>
      <c r="CR11" s="1">
        <f t="shared" si="54"/>
        <v>0.64794007490636707</v>
      </c>
      <c r="CS11" s="1" t="str">
        <f t="shared" si="55"/>
        <v/>
      </c>
      <c r="CT11" s="1" t="str">
        <f t="shared" si="56"/>
        <v/>
      </c>
    </row>
    <row r="12" spans="1:98" x14ac:dyDescent="0.3">
      <c r="A12">
        <v>1992</v>
      </c>
      <c r="F12">
        <v>672</v>
      </c>
      <c r="Q12">
        <v>17320</v>
      </c>
      <c r="U12">
        <v>36844</v>
      </c>
      <c r="AC12">
        <v>7632</v>
      </c>
      <c r="AO12">
        <v>85</v>
      </c>
      <c r="AU12">
        <v>175</v>
      </c>
      <c r="AY12" s="1" t="str">
        <f t="shared" si="9"/>
        <v/>
      </c>
      <c r="AZ12" s="1" t="str">
        <f t="shared" si="10"/>
        <v/>
      </c>
      <c r="BA12" s="1" t="str">
        <f t="shared" si="11"/>
        <v/>
      </c>
      <c r="BB12" s="1" t="str">
        <f t="shared" si="12"/>
        <v/>
      </c>
      <c r="BC12" s="1">
        <f t="shared" si="13"/>
        <v>0.28486646884272998</v>
      </c>
      <c r="BD12" s="1" t="str">
        <f t="shared" si="14"/>
        <v/>
      </c>
      <c r="BE12" s="1" t="str">
        <f t="shared" si="15"/>
        <v/>
      </c>
      <c r="BF12" s="1" t="str">
        <f t="shared" si="16"/>
        <v/>
      </c>
      <c r="BG12" s="1" t="str">
        <f t="shared" si="17"/>
        <v/>
      </c>
      <c r="BH12" s="1" t="str">
        <f t="shared" si="18"/>
        <v/>
      </c>
      <c r="BI12" s="1" t="str">
        <f t="shared" si="19"/>
        <v/>
      </c>
      <c r="BJ12" s="1" t="str">
        <f t="shared" si="20"/>
        <v/>
      </c>
      <c r="BK12" s="1" t="str">
        <f t="shared" si="21"/>
        <v/>
      </c>
      <c r="BL12" s="1" t="str">
        <f t="shared" si="22"/>
        <v/>
      </c>
      <c r="BM12" s="1" t="str">
        <f t="shared" si="23"/>
        <v/>
      </c>
      <c r="BN12" s="1">
        <f t="shared" si="24"/>
        <v>1.5745454545454545</v>
      </c>
      <c r="BO12" s="1" t="str">
        <f t="shared" si="25"/>
        <v/>
      </c>
      <c r="BP12" s="1" t="str">
        <f t="shared" si="26"/>
        <v/>
      </c>
      <c r="BQ12" s="1" t="str">
        <f t="shared" si="27"/>
        <v/>
      </c>
      <c r="BR12" s="1">
        <f t="shared" si="28"/>
        <v>2.514777148317521</v>
      </c>
      <c r="BS12" s="1" t="str">
        <f t="shared" si="29"/>
        <v/>
      </c>
      <c r="BT12" s="1" t="str">
        <f t="shared" si="30"/>
        <v/>
      </c>
      <c r="BU12" s="1" t="str">
        <f t="shared" si="31"/>
        <v/>
      </c>
      <c r="BV12" s="1" t="str">
        <f t="shared" si="32"/>
        <v/>
      </c>
      <c r="BW12" s="1" t="str">
        <f t="shared" si="33"/>
        <v/>
      </c>
      <c r="BX12" s="1" t="str">
        <f t="shared" si="34"/>
        <v/>
      </c>
      <c r="BY12" s="1" t="str">
        <f t="shared" si="35"/>
        <v/>
      </c>
      <c r="BZ12" s="1">
        <f t="shared" si="36"/>
        <v>0.38299794249008884</v>
      </c>
      <c r="CA12" s="1" t="str">
        <f t="shared" si="37"/>
        <v/>
      </c>
      <c r="CB12" s="1" t="str">
        <f t="shared" si="38"/>
        <v/>
      </c>
      <c r="CC12" s="1" t="str">
        <f t="shared" si="39"/>
        <v/>
      </c>
      <c r="CD12" s="1" t="str">
        <f t="shared" si="40"/>
        <v/>
      </c>
      <c r="CE12" s="1" t="str">
        <f t="shared" si="41"/>
        <v/>
      </c>
      <c r="CF12" s="1" t="str">
        <f t="shared" si="42"/>
        <v/>
      </c>
      <c r="CG12" s="1" t="str">
        <f t="shared" si="43"/>
        <v/>
      </c>
      <c r="CH12" s="1" t="str">
        <f t="shared" si="44"/>
        <v/>
      </c>
      <c r="CI12" s="1" t="str">
        <f t="shared" si="45"/>
        <v/>
      </c>
      <c r="CJ12" s="1" t="str">
        <f t="shared" si="46"/>
        <v/>
      </c>
      <c r="CK12" s="1" t="str">
        <f t="shared" si="47"/>
        <v/>
      </c>
      <c r="CL12" s="1">
        <f t="shared" si="48"/>
        <v>0.28428093645484948</v>
      </c>
      <c r="CM12" s="1" t="str">
        <f t="shared" si="49"/>
        <v/>
      </c>
      <c r="CN12" s="1" t="str">
        <f t="shared" si="50"/>
        <v/>
      </c>
      <c r="CO12" s="1" t="str">
        <f t="shared" si="51"/>
        <v/>
      </c>
      <c r="CP12" s="1" t="str">
        <f t="shared" si="52"/>
        <v/>
      </c>
      <c r="CQ12" s="1" t="str">
        <f t="shared" si="53"/>
        <v/>
      </c>
      <c r="CR12" s="1">
        <f t="shared" si="54"/>
        <v>0.65543071161048694</v>
      </c>
      <c r="CS12" s="1" t="str">
        <f t="shared" si="55"/>
        <v/>
      </c>
      <c r="CT12" s="1" t="str">
        <f t="shared" si="56"/>
        <v/>
      </c>
    </row>
    <row r="13" spans="1:98" x14ac:dyDescent="0.3">
      <c r="A13">
        <v>1993</v>
      </c>
      <c r="B13">
        <v>2100</v>
      </c>
      <c r="C13">
        <v>5270</v>
      </c>
      <c r="M13">
        <v>187</v>
      </c>
      <c r="U13">
        <v>23201</v>
      </c>
      <c r="V13">
        <v>2508</v>
      </c>
      <c r="W13">
        <v>1893</v>
      </c>
      <c r="X13">
        <v>748</v>
      </c>
      <c r="AA13">
        <v>5241</v>
      </c>
      <c r="AC13">
        <v>7834</v>
      </c>
      <c r="AJ13">
        <v>51</v>
      </c>
      <c r="AO13">
        <v>54</v>
      </c>
      <c r="AU13">
        <v>183</v>
      </c>
      <c r="AV13">
        <v>84</v>
      </c>
      <c r="AY13" s="1">
        <f t="shared" si="9"/>
        <v>0.44567062818336162</v>
      </c>
      <c r="AZ13" s="1">
        <f t="shared" si="10"/>
        <v>0.60546875</v>
      </c>
      <c r="BA13" s="1" t="str">
        <f t="shared" si="11"/>
        <v/>
      </c>
      <c r="BB13" s="1" t="str">
        <f t="shared" si="12"/>
        <v/>
      </c>
      <c r="BC13" s="1" t="str">
        <f t="shared" si="13"/>
        <v/>
      </c>
      <c r="BD13" s="1" t="str">
        <f t="shared" si="14"/>
        <v/>
      </c>
      <c r="BE13" s="1" t="str">
        <f t="shared" si="15"/>
        <v/>
      </c>
      <c r="BF13" s="1" t="str">
        <f t="shared" si="16"/>
        <v/>
      </c>
      <c r="BG13" s="1" t="str">
        <f t="shared" si="17"/>
        <v/>
      </c>
      <c r="BH13" s="1" t="str">
        <f t="shared" si="18"/>
        <v/>
      </c>
      <c r="BI13" s="1" t="str">
        <f t="shared" si="19"/>
        <v/>
      </c>
      <c r="BJ13" s="1">
        <f t="shared" si="20"/>
        <v>0.55325443786982254</v>
      </c>
      <c r="BK13" s="1" t="str">
        <f t="shared" si="21"/>
        <v/>
      </c>
      <c r="BL13" s="1" t="str">
        <f t="shared" si="22"/>
        <v/>
      </c>
      <c r="BM13" s="1" t="str">
        <f t="shared" si="23"/>
        <v/>
      </c>
      <c r="BN13" s="1" t="str">
        <f t="shared" si="24"/>
        <v/>
      </c>
      <c r="BO13" s="1" t="str">
        <f t="shared" si="25"/>
        <v/>
      </c>
      <c r="BP13" s="1" t="str">
        <f t="shared" si="26"/>
        <v/>
      </c>
      <c r="BQ13" s="1" t="str">
        <f t="shared" si="27"/>
        <v/>
      </c>
      <c r="BR13" s="1">
        <f t="shared" si="28"/>
        <v>1.5835779127704595</v>
      </c>
      <c r="BS13" s="1">
        <f t="shared" si="29"/>
        <v>1.3130890052356021</v>
      </c>
      <c r="BT13" s="1">
        <f t="shared" si="30"/>
        <v>1.3454157782515992</v>
      </c>
      <c r="BU13" s="1">
        <f t="shared" si="31"/>
        <v>0.95897435897435901</v>
      </c>
      <c r="BV13" s="1" t="str">
        <f t="shared" si="32"/>
        <v/>
      </c>
      <c r="BW13" s="1" t="str">
        <f t="shared" si="33"/>
        <v/>
      </c>
      <c r="BX13" s="1">
        <f t="shared" si="34"/>
        <v>1.0372056204235107</v>
      </c>
      <c r="BY13" s="1" t="str">
        <f t="shared" si="35"/>
        <v/>
      </c>
      <c r="BZ13" s="1">
        <f t="shared" si="36"/>
        <v>0.39313494254027198</v>
      </c>
      <c r="CA13" s="1" t="str">
        <f t="shared" si="37"/>
        <v/>
      </c>
      <c r="CB13" s="1" t="str">
        <f t="shared" si="38"/>
        <v/>
      </c>
      <c r="CC13" s="1" t="str">
        <f t="shared" si="39"/>
        <v/>
      </c>
      <c r="CD13" s="1" t="str">
        <f t="shared" si="40"/>
        <v/>
      </c>
      <c r="CE13" s="1" t="str">
        <f t="shared" si="41"/>
        <v/>
      </c>
      <c r="CF13" s="1" t="str">
        <f t="shared" si="42"/>
        <v/>
      </c>
      <c r="CG13" s="1">
        <f t="shared" si="43"/>
        <v>8.557046979865772E-2</v>
      </c>
      <c r="CH13" s="1" t="str">
        <f t="shared" si="44"/>
        <v/>
      </c>
      <c r="CI13" s="1" t="str">
        <f t="shared" si="45"/>
        <v/>
      </c>
      <c r="CJ13" s="1" t="str">
        <f t="shared" si="46"/>
        <v/>
      </c>
      <c r="CK13" s="1" t="str">
        <f t="shared" si="47"/>
        <v/>
      </c>
      <c r="CL13" s="1">
        <f t="shared" si="48"/>
        <v>0.1806020066889632</v>
      </c>
      <c r="CM13" s="1" t="str">
        <f t="shared" si="49"/>
        <v/>
      </c>
      <c r="CN13" s="1" t="str">
        <f t="shared" si="50"/>
        <v/>
      </c>
      <c r="CO13" s="1" t="str">
        <f t="shared" si="51"/>
        <v/>
      </c>
      <c r="CP13" s="1" t="str">
        <f t="shared" si="52"/>
        <v/>
      </c>
      <c r="CQ13" s="1" t="str">
        <f t="shared" si="53"/>
        <v/>
      </c>
      <c r="CR13" s="1">
        <f t="shared" si="54"/>
        <v>0.6853932584269663</v>
      </c>
      <c r="CS13" s="1">
        <f t="shared" si="55"/>
        <v>0.15730337078651685</v>
      </c>
      <c r="CT13" s="1" t="str">
        <f t="shared" si="56"/>
        <v/>
      </c>
    </row>
    <row r="14" spans="1:98" x14ac:dyDescent="0.3">
      <c r="A14">
        <v>1994</v>
      </c>
      <c r="C14">
        <v>8026</v>
      </c>
      <c r="E14">
        <v>110</v>
      </c>
      <c r="M14">
        <v>638</v>
      </c>
      <c r="N14">
        <v>3862</v>
      </c>
      <c r="U14">
        <v>31576</v>
      </c>
      <c r="X14">
        <v>831</v>
      </c>
      <c r="AC14">
        <v>7806</v>
      </c>
      <c r="AD14">
        <v>26</v>
      </c>
      <c r="AG14">
        <v>117</v>
      </c>
      <c r="AH14">
        <v>187</v>
      </c>
      <c r="AO14">
        <v>71</v>
      </c>
      <c r="AQ14">
        <v>12</v>
      </c>
      <c r="AU14">
        <v>193</v>
      </c>
      <c r="AW14">
        <v>219</v>
      </c>
      <c r="AY14" s="1" t="str">
        <f t="shared" si="9"/>
        <v/>
      </c>
      <c r="AZ14" s="1">
        <f t="shared" si="10"/>
        <v>0.92210477941176472</v>
      </c>
      <c r="BA14" s="1" t="str">
        <f t="shared" si="11"/>
        <v/>
      </c>
      <c r="BB14" s="1">
        <f t="shared" si="12"/>
        <v>4.2145593869731802E-2</v>
      </c>
      <c r="BC14" s="1" t="str">
        <f t="shared" si="13"/>
        <v/>
      </c>
      <c r="BD14" s="1" t="str">
        <f t="shared" si="14"/>
        <v/>
      </c>
      <c r="BE14" s="1" t="str">
        <f t="shared" si="15"/>
        <v/>
      </c>
      <c r="BF14" s="1" t="str">
        <f t="shared" si="16"/>
        <v/>
      </c>
      <c r="BG14" s="1" t="str">
        <f t="shared" si="17"/>
        <v/>
      </c>
      <c r="BH14" s="1" t="str">
        <f t="shared" si="18"/>
        <v/>
      </c>
      <c r="BI14" s="1" t="str">
        <f t="shared" si="19"/>
        <v/>
      </c>
      <c r="BJ14" s="1">
        <f t="shared" si="20"/>
        <v>1.8875739644970415</v>
      </c>
      <c r="BK14" s="1">
        <f t="shared" si="21"/>
        <v>0.17311398986955936</v>
      </c>
      <c r="BL14" s="1" t="str">
        <f t="shared" si="22"/>
        <v/>
      </c>
      <c r="BM14" s="1" t="str">
        <f t="shared" si="23"/>
        <v/>
      </c>
      <c r="BN14" s="1" t="str">
        <f t="shared" si="24"/>
        <v/>
      </c>
      <c r="BO14" s="1" t="str">
        <f t="shared" si="25"/>
        <v/>
      </c>
      <c r="BP14" s="1" t="str">
        <f t="shared" si="26"/>
        <v/>
      </c>
      <c r="BQ14" s="1" t="str">
        <f t="shared" si="27"/>
        <v/>
      </c>
      <c r="BR14" s="1">
        <f t="shared" si="28"/>
        <v>2.1552112483789503</v>
      </c>
      <c r="BS14" s="1" t="str">
        <f t="shared" si="29"/>
        <v/>
      </c>
      <c r="BT14" s="1" t="str">
        <f t="shared" si="30"/>
        <v/>
      </c>
      <c r="BU14" s="1">
        <f t="shared" si="31"/>
        <v>1.0653846153846154</v>
      </c>
      <c r="BV14" s="1" t="str">
        <f t="shared" si="32"/>
        <v/>
      </c>
      <c r="BW14" s="1" t="str">
        <f t="shared" si="33"/>
        <v/>
      </c>
      <c r="BX14" s="1" t="str">
        <f t="shared" si="34"/>
        <v/>
      </c>
      <c r="BY14" s="1" t="str">
        <f t="shared" si="35"/>
        <v/>
      </c>
      <c r="BZ14" s="1">
        <f t="shared" si="36"/>
        <v>0.39172981382044464</v>
      </c>
      <c r="CA14" s="1">
        <f t="shared" si="37"/>
        <v>0.10441767068273092</v>
      </c>
      <c r="CB14" s="1" t="str">
        <f t="shared" si="38"/>
        <v/>
      </c>
      <c r="CC14" s="1" t="str">
        <f t="shared" si="39"/>
        <v/>
      </c>
      <c r="CD14" s="1">
        <f t="shared" si="40"/>
        <v>0.80689655172413788</v>
      </c>
      <c r="CE14" s="1">
        <f t="shared" si="41"/>
        <v>0.35755258126195028</v>
      </c>
      <c r="CF14" s="1" t="str">
        <f t="shared" si="42"/>
        <v/>
      </c>
      <c r="CG14" s="1" t="str">
        <f t="shared" si="43"/>
        <v/>
      </c>
      <c r="CH14" s="1" t="str">
        <f t="shared" si="44"/>
        <v/>
      </c>
      <c r="CI14" s="1" t="str">
        <f t="shared" si="45"/>
        <v/>
      </c>
      <c r="CJ14" s="1" t="str">
        <f t="shared" si="46"/>
        <v/>
      </c>
      <c r="CK14" s="1" t="str">
        <f t="shared" si="47"/>
        <v/>
      </c>
      <c r="CL14" s="1">
        <f t="shared" si="48"/>
        <v>0.23745819397993312</v>
      </c>
      <c r="CM14" s="1" t="str">
        <f t="shared" si="49"/>
        <v/>
      </c>
      <c r="CN14" s="1">
        <f t="shared" si="50"/>
        <v>3.6036036036036036E-2</v>
      </c>
      <c r="CO14" s="1" t="str">
        <f t="shared" si="51"/>
        <v/>
      </c>
      <c r="CP14" s="1" t="str">
        <f t="shared" si="52"/>
        <v/>
      </c>
      <c r="CQ14" s="1" t="str">
        <f t="shared" si="53"/>
        <v/>
      </c>
      <c r="CR14" s="1">
        <f t="shared" si="54"/>
        <v>0.72284644194756553</v>
      </c>
      <c r="CS14" s="1" t="str">
        <f t="shared" si="55"/>
        <v/>
      </c>
      <c r="CT14" s="1">
        <f t="shared" si="56"/>
        <v>0.40331491712707185</v>
      </c>
    </row>
    <row r="15" spans="1:98" x14ac:dyDescent="0.3">
      <c r="A15">
        <v>1995</v>
      </c>
      <c r="F15">
        <v>391</v>
      </c>
      <c r="N15">
        <v>3847</v>
      </c>
      <c r="U15">
        <v>23303</v>
      </c>
      <c r="X15" s="2">
        <v>431</v>
      </c>
      <c r="Y15" s="2">
        <v>45</v>
      </c>
      <c r="AA15">
        <v>4334</v>
      </c>
      <c r="AC15">
        <v>8064</v>
      </c>
      <c r="AN15">
        <v>150</v>
      </c>
      <c r="AO15">
        <v>90</v>
      </c>
      <c r="AS15" s="2">
        <v>160</v>
      </c>
      <c r="AU15">
        <v>208</v>
      </c>
      <c r="AW15">
        <v>250</v>
      </c>
      <c r="AY15" s="1" t="str">
        <f t="shared" si="9"/>
        <v/>
      </c>
      <c r="AZ15" s="1" t="str">
        <f t="shared" si="10"/>
        <v/>
      </c>
      <c r="BA15" s="1" t="str">
        <f t="shared" si="11"/>
        <v/>
      </c>
      <c r="BB15" s="1" t="str">
        <f t="shared" si="12"/>
        <v/>
      </c>
      <c r="BC15" s="1">
        <f t="shared" si="13"/>
        <v>0.16574819838914795</v>
      </c>
      <c r="BD15" s="1" t="str">
        <f t="shared" si="14"/>
        <v/>
      </c>
      <c r="BE15" s="1" t="str">
        <f t="shared" si="15"/>
        <v/>
      </c>
      <c r="BF15" s="1" t="str">
        <f t="shared" si="16"/>
        <v/>
      </c>
      <c r="BG15" s="1" t="str">
        <f t="shared" si="17"/>
        <v/>
      </c>
      <c r="BH15" s="1" t="str">
        <f t="shared" si="18"/>
        <v/>
      </c>
      <c r="BI15" s="1" t="str">
        <f t="shared" si="19"/>
        <v/>
      </c>
      <c r="BJ15" s="1" t="str">
        <f t="shared" si="20"/>
        <v/>
      </c>
      <c r="BK15" s="1">
        <f t="shared" si="21"/>
        <v>0.17244161549150566</v>
      </c>
      <c r="BL15" s="1" t="str">
        <f t="shared" si="22"/>
        <v/>
      </c>
      <c r="BM15" s="1" t="str">
        <f t="shared" si="23"/>
        <v/>
      </c>
      <c r="BN15" s="1" t="str">
        <f t="shared" si="24"/>
        <v/>
      </c>
      <c r="BO15" s="1" t="str">
        <f t="shared" si="25"/>
        <v/>
      </c>
      <c r="BP15" s="1" t="str">
        <f t="shared" si="26"/>
        <v/>
      </c>
      <c r="BQ15" s="1" t="str">
        <f t="shared" si="27"/>
        <v/>
      </c>
      <c r="BR15" s="1">
        <f t="shared" si="28"/>
        <v>1.590539894887721</v>
      </c>
      <c r="BS15" s="1" t="str">
        <f t="shared" si="29"/>
        <v/>
      </c>
      <c r="BT15" s="1" t="str">
        <f t="shared" si="30"/>
        <v/>
      </c>
      <c r="BU15" s="1">
        <f t="shared" si="31"/>
        <v>0.5525641025641026</v>
      </c>
      <c r="BV15" s="1">
        <f t="shared" si="32"/>
        <v>0.11056511056511056</v>
      </c>
      <c r="BW15" s="1" t="str">
        <f t="shared" si="33"/>
        <v/>
      </c>
      <c r="BX15" s="1">
        <f t="shared" si="34"/>
        <v>0.85770829210370081</v>
      </c>
      <c r="BY15" s="1" t="str">
        <f t="shared" si="35"/>
        <v/>
      </c>
      <c r="BZ15" s="1">
        <f t="shared" si="36"/>
        <v>0.40467707131028252</v>
      </c>
      <c r="CA15" s="1" t="str">
        <f t="shared" si="37"/>
        <v/>
      </c>
      <c r="CB15" s="1" t="str">
        <f t="shared" si="38"/>
        <v/>
      </c>
      <c r="CC15" s="1" t="str">
        <f t="shared" si="39"/>
        <v/>
      </c>
      <c r="CD15" s="1" t="str">
        <f t="shared" si="40"/>
        <v/>
      </c>
      <c r="CE15" s="1" t="str">
        <f t="shared" si="41"/>
        <v/>
      </c>
      <c r="CF15" s="1" t="str">
        <f t="shared" si="42"/>
        <v/>
      </c>
      <c r="CG15" s="1" t="str">
        <f t="shared" si="43"/>
        <v/>
      </c>
      <c r="CH15" s="1" t="str">
        <f t="shared" si="44"/>
        <v/>
      </c>
      <c r="CI15" s="1" t="str">
        <f t="shared" si="45"/>
        <v/>
      </c>
      <c r="CJ15" s="1" t="str">
        <f t="shared" si="46"/>
        <v/>
      </c>
      <c r="CK15" s="1">
        <f t="shared" si="47"/>
        <v>0.14423076923076922</v>
      </c>
      <c r="CL15" s="1">
        <f t="shared" si="48"/>
        <v>0.30100334448160537</v>
      </c>
      <c r="CM15" s="1" t="str">
        <f t="shared" si="49"/>
        <v/>
      </c>
      <c r="CN15" s="1" t="str">
        <f t="shared" si="50"/>
        <v/>
      </c>
      <c r="CO15" s="1" t="str">
        <f t="shared" si="51"/>
        <v/>
      </c>
      <c r="CP15" s="1">
        <f t="shared" si="52"/>
        <v>0.18202502844141069</v>
      </c>
      <c r="CQ15" s="1" t="str">
        <f t="shared" si="53"/>
        <v/>
      </c>
      <c r="CR15" s="1">
        <f t="shared" si="54"/>
        <v>0.77902621722846443</v>
      </c>
      <c r="CS15" s="1" t="str">
        <f t="shared" si="55"/>
        <v/>
      </c>
      <c r="CT15" s="1">
        <f t="shared" si="56"/>
        <v>0.46040515653775321</v>
      </c>
    </row>
    <row r="16" spans="1:98" x14ac:dyDescent="0.3">
      <c r="A16">
        <v>1996</v>
      </c>
      <c r="B16">
        <v>3033</v>
      </c>
      <c r="C16">
        <v>8834</v>
      </c>
      <c r="D16" s="2">
        <v>0.1</v>
      </c>
      <c r="G16">
        <v>232</v>
      </c>
      <c r="O16" s="2">
        <v>250</v>
      </c>
      <c r="P16">
        <v>7758</v>
      </c>
      <c r="Q16">
        <v>25532</v>
      </c>
      <c r="R16" s="2">
        <v>0.1</v>
      </c>
      <c r="S16" s="2">
        <v>0.1</v>
      </c>
      <c r="T16" s="2">
        <v>5236</v>
      </c>
      <c r="U16">
        <v>27907</v>
      </c>
      <c r="X16" s="2">
        <v>290</v>
      </c>
      <c r="AA16">
        <v>3874</v>
      </c>
      <c r="AC16">
        <v>8320</v>
      </c>
      <c r="AE16">
        <v>355</v>
      </c>
      <c r="AG16">
        <v>25</v>
      </c>
      <c r="AH16">
        <v>232</v>
      </c>
      <c r="AJ16">
        <v>202</v>
      </c>
      <c r="AN16">
        <v>200</v>
      </c>
      <c r="AO16">
        <v>106</v>
      </c>
      <c r="AS16" s="2">
        <v>210</v>
      </c>
      <c r="AU16">
        <v>218</v>
      </c>
      <c r="AV16">
        <v>81</v>
      </c>
      <c r="AW16">
        <v>255</v>
      </c>
      <c r="AY16" s="1">
        <f t="shared" si="9"/>
        <v>0.64367572156196939</v>
      </c>
      <c r="AZ16" s="1">
        <f t="shared" si="10"/>
        <v>1.0149356617647058</v>
      </c>
      <c r="BA16" s="1">
        <f t="shared" si="11"/>
        <v>2.770083102493075E-4</v>
      </c>
      <c r="BB16" s="1" t="str">
        <f t="shared" si="12"/>
        <v/>
      </c>
      <c r="BC16" s="1" t="str">
        <f t="shared" si="13"/>
        <v/>
      </c>
      <c r="BD16" s="1">
        <f t="shared" si="14"/>
        <v>5.5998069032102339E-2</v>
      </c>
      <c r="BE16" s="1" t="str">
        <f t="shared" si="15"/>
        <v/>
      </c>
      <c r="BF16" s="1" t="str">
        <f t="shared" si="16"/>
        <v/>
      </c>
      <c r="BG16" s="1" t="str">
        <f t="shared" si="17"/>
        <v/>
      </c>
      <c r="BH16" s="1" t="str">
        <f t="shared" si="18"/>
        <v/>
      </c>
      <c r="BI16" s="1" t="str">
        <f t="shared" si="19"/>
        <v/>
      </c>
      <c r="BJ16" s="1" t="str">
        <f t="shared" si="20"/>
        <v/>
      </c>
      <c r="BK16" s="1" t="str">
        <f t="shared" si="21"/>
        <v/>
      </c>
      <c r="BL16" s="1">
        <f t="shared" si="22"/>
        <v>5.5828494863778472E-2</v>
      </c>
      <c r="BM16" s="1">
        <f t="shared" si="23"/>
        <v>1.5865030674846625</v>
      </c>
      <c r="BN16" s="1">
        <f t="shared" si="24"/>
        <v>2.3210909090909091</v>
      </c>
      <c r="BO16" s="1">
        <f t="shared" si="25"/>
        <v>3.8819875776397517E-5</v>
      </c>
      <c r="BP16" s="1">
        <f t="shared" si="26"/>
        <v>2.0399836801305592E-5</v>
      </c>
      <c r="BQ16" s="1">
        <f t="shared" si="27"/>
        <v>1.0657439446366781</v>
      </c>
      <c r="BR16" s="1">
        <f t="shared" si="28"/>
        <v>1.9047846563374513</v>
      </c>
      <c r="BS16" s="1" t="str">
        <f t="shared" si="29"/>
        <v/>
      </c>
      <c r="BT16" s="1" t="str">
        <f t="shared" si="30"/>
        <v/>
      </c>
      <c r="BU16" s="1">
        <f t="shared" si="31"/>
        <v>0.37179487179487181</v>
      </c>
      <c r="BV16" s="1" t="str">
        <f t="shared" si="32"/>
        <v/>
      </c>
      <c r="BW16" s="1" t="str">
        <f t="shared" si="33"/>
        <v/>
      </c>
      <c r="BX16" s="1">
        <f t="shared" si="34"/>
        <v>0.76667326340787656</v>
      </c>
      <c r="BY16" s="1" t="str">
        <f t="shared" si="35"/>
        <v/>
      </c>
      <c r="BZ16" s="1">
        <f t="shared" si="36"/>
        <v>0.41752396246298989</v>
      </c>
      <c r="CA16" s="1" t="str">
        <f t="shared" si="37"/>
        <v/>
      </c>
      <c r="CB16" s="1">
        <f t="shared" si="38"/>
        <v>0.60169491525423724</v>
      </c>
      <c r="CC16" s="1" t="str">
        <f t="shared" si="39"/>
        <v/>
      </c>
      <c r="CD16" s="1">
        <f t="shared" si="40"/>
        <v>0.17241379310344829</v>
      </c>
      <c r="CE16" s="1">
        <f t="shared" si="41"/>
        <v>0.44359464627151052</v>
      </c>
      <c r="CF16" s="1" t="str">
        <f t="shared" si="42"/>
        <v/>
      </c>
      <c r="CG16" s="1">
        <f t="shared" si="43"/>
        <v>0.33892617449664431</v>
      </c>
      <c r="CH16" s="1" t="str">
        <f t="shared" si="44"/>
        <v/>
      </c>
      <c r="CI16" s="1" t="str">
        <f t="shared" si="45"/>
        <v/>
      </c>
      <c r="CJ16" s="1" t="str">
        <f t="shared" si="46"/>
        <v/>
      </c>
      <c r="CK16" s="1">
        <f t="shared" si="47"/>
        <v>0.19230769230769232</v>
      </c>
      <c r="CL16" s="1">
        <f t="shared" si="48"/>
        <v>0.35451505016722407</v>
      </c>
      <c r="CM16" s="1" t="str">
        <f t="shared" si="49"/>
        <v/>
      </c>
      <c r="CN16" s="1" t="str">
        <f t="shared" si="50"/>
        <v/>
      </c>
      <c r="CO16" s="1" t="str">
        <f t="shared" si="51"/>
        <v/>
      </c>
      <c r="CP16" s="1">
        <f t="shared" si="52"/>
        <v>0.23890784982935154</v>
      </c>
      <c r="CQ16" s="1" t="str">
        <f t="shared" si="53"/>
        <v/>
      </c>
      <c r="CR16" s="1">
        <f t="shared" si="54"/>
        <v>0.81647940074906367</v>
      </c>
      <c r="CS16" s="1">
        <f t="shared" si="55"/>
        <v>0.15168539325842698</v>
      </c>
      <c r="CT16" s="1">
        <f t="shared" si="56"/>
        <v>0.46961325966850831</v>
      </c>
    </row>
    <row r="17" spans="1:98" x14ac:dyDescent="0.3">
      <c r="A17">
        <v>1997</v>
      </c>
      <c r="C17">
        <v>8499</v>
      </c>
      <c r="N17">
        <v>4482</v>
      </c>
      <c r="T17" s="2">
        <v>4017</v>
      </c>
      <c r="U17">
        <v>31613</v>
      </c>
      <c r="V17">
        <v>3626</v>
      </c>
      <c r="W17" s="2">
        <v>2206</v>
      </c>
      <c r="X17" s="2">
        <v>767</v>
      </c>
      <c r="AB17" s="2">
        <v>8</v>
      </c>
      <c r="AC17">
        <v>8371</v>
      </c>
      <c r="AD17">
        <v>59</v>
      </c>
      <c r="AE17">
        <v>303</v>
      </c>
      <c r="AG17">
        <v>134</v>
      </c>
      <c r="AH17">
        <v>322</v>
      </c>
      <c r="AI17">
        <v>28</v>
      </c>
      <c r="AJ17">
        <v>311</v>
      </c>
      <c r="AO17">
        <v>115</v>
      </c>
      <c r="AP17" s="2">
        <v>17</v>
      </c>
      <c r="AQ17" s="2">
        <v>25</v>
      </c>
      <c r="AS17" s="2">
        <v>250</v>
      </c>
      <c r="AT17" s="2">
        <v>45</v>
      </c>
      <c r="AU17">
        <v>232</v>
      </c>
      <c r="AY17" s="1" t="str">
        <f t="shared" si="9"/>
        <v/>
      </c>
      <c r="AZ17" s="1">
        <f t="shared" si="10"/>
        <v>0.97644761029411764</v>
      </c>
      <c r="BA17" s="1" t="str">
        <f t="shared" si="11"/>
        <v/>
      </c>
      <c r="BB17" s="1" t="str">
        <f t="shared" si="12"/>
        <v/>
      </c>
      <c r="BC17" s="1" t="str">
        <f t="shared" si="13"/>
        <v/>
      </c>
      <c r="BD17" s="1" t="str">
        <f t="shared" si="14"/>
        <v/>
      </c>
      <c r="BE17" s="1" t="str">
        <f t="shared" si="15"/>
        <v/>
      </c>
      <c r="BF17" s="1" t="str">
        <f t="shared" si="16"/>
        <v/>
      </c>
      <c r="BG17" s="1" t="str">
        <f t="shared" si="17"/>
        <v/>
      </c>
      <c r="BH17" s="1" t="str">
        <f t="shared" si="18"/>
        <v/>
      </c>
      <c r="BI17" s="1" t="str">
        <f t="shared" si="19"/>
        <v/>
      </c>
      <c r="BJ17" s="1" t="str">
        <f t="shared" si="20"/>
        <v/>
      </c>
      <c r="BK17" s="1">
        <f t="shared" si="21"/>
        <v>0.20090546416244565</v>
      </c>
      <c r="BL17" s="1" t="str">
        <f t="shared" si="22"/>
        <v/>
      </c>
      <c r="BM17" s="1" t="str">
        <f t="shared" si="23"/>
        <v/>
      </c>
      <c r="BN17" s="1" t="str">
        <f t="shared" si="24"/>
        <v/>
      </c>
      <c r="BO17" s="1" t="str">
        <f t="shared" si="25"/>
        <v/>
      </c>
      <c r="BP17" s="1" t="str">
        <f t="shared" si="26"/>
        <v/>
      </c>
      <c r="BQ17" s="1">
        <f t="shared" si="27"/>
        <v>0.81762670466110321</v>
      </c>
      <c r="BR17" s="1">
        <f t="shared" si="28"/>
        <v>2.1577366732646235</v>
      </c>
      <c r="BS17" s="1">
        <f t="shared" si="29"/>
        <v>1.8984293193717277</v>
      </c>
      <c r="BT17" s="1">
        <f t="shared" si="30"/>
        <v>1.5678749111584933</v>
      </c>
      <c r="BU17" s="1">
        <f t="shared" si="31"/>
        <v>0.98333333333333328</v>
      </c>
      <c r="BV17" s="1" t="str">
        <f t="shared" si="32"/>
        <v/>
      </c>
      <c r="BW17" s="1" t="str">
        <f t="shared" si="33"/>
        <v/>
      </c>
      <c r="BX17" s="1" t="str">
        <f t="shared" si="34"/>
        <v/>
      </c>
      <c r="BY17" s="1">
        <f t="shared" si="35"/>
        <v>2.2038567493112948E-2</v>
      </c>
      <c r="BZ17" s="1">
        <f t="shared" si="36"/>
        <v>0.42008330405981836</v>
      </c>
      <c r="CA17" s="1">
        <f t="shared" si="37"/>
        <v>0.23694779116465864</v>
      </c>
      <c r="CB17" s="1">
        <f t="shared" si="38"/>
        <v>0.51355932203389831</v>
      </c>
      <c r="CC17" s="1" t="str">
        <f t="shared" si="39"/>
        <v/>
      </c>
      <c r="CD17" s="1">
        <f t="shared" si="40"/>
        <v>0.92413793103448272</v>
      </c>
      <c r="CE17" s="1">
        <f t="shared" si="41"/>
        <v>0.61567877629063095</v>
      </c>
      <c r="CF17" s="1">
        <f t="shared" si="42"/>
        <v>0.16184971098265896</v>
      </c>
      <c r="CG17" s="1">
        <f t="shared" si="43"/>
        <v>0.52181208053691275</v>
      </c>
      <c r="CH17" s="1" t="str">
        <f t="shared" si="44"/>
        <v/>
      </c>
      <c r="CI17" s="1" t="str">
        <f t="shared" si="45"/>
        <v/>
      </c>
      <c r="CJ17" s="1" t="str">
        <f t="shared" si="46"/>
        <v/>
      </c>
      <c r="CK17" s="1" t="str">
        <f t="shared" si="47"/>
        <v/>
      </c>
      <c r="CL17" s="1">
        <f t="shared" si="48"/>
        <v>0.38461538461538464</v>
      </c>
      <c r="CM17" s="1">
        <f t="shared" si="49"/>
        <v>0.18888888888888888</v>
      </c>
      <c r="CN17" s="1">
        <f t="shared" si="50"/>
        <v>7.5075075075075076E-2</v>
      </c>
      <c r="CO17" s="1" t="str">
        <f t="shared" si="51"/>
        <v/>
      </c>
      <c r="CP17" s="1">
        <f t="shared" si="52"/>
        <v>0.2844141069397042</v>
      </c>
      <c r="CQ17" s="1">
        <f t="shared" si="53"/>
        <v>0.15358361774744028</v>
      </c>
      <c r="CR17" s="1">
        <f t="shared" si="54"/>
        <v>0.86891385767790263</v>
      </c>
      <c r="CS17" s="1" t="str">
        <f t="shared" si="55"/>
        <v/>
      </c>
      <c r="CT17" s="1" t="str">
        <f t="shared" si="56"/>
        <v/>
      </c>
    </row>
    <row r="18" spans="1:98" x14ac:dyDescent="0.3">
      <c r="A18">
        <v>1998</v>
      </c>
      <c r="C18">
        <v>7370</v>
      </c>
      <c r="K18">
        <v>2224</v>
      </c>
      <c r="L18" s="2">
        <v>0.1</v>
      </c>
      <c r="N18">
        <v>2177</v>
      </c>
      <c r="U18">
        <v>29616</v>
      </c>
      <c r="AA18">
        <v>4232</v>
      </c>
      <c r="AC18">
        <v>8869</v>
      </c>
      <c r="AJ18">
        <v>429</v>
      </c>
      <c r="AN18">
        <v>180</v>
      </c>
      <c r="AP18" s="2">
        <v>21</v>
      </c>
      <c r="AU18">
        <v>271</v>
      </c>
      <c r="AV18">
        <v>93</v>
      </c>
      <c r="AW18">
        <v>282</v>
      </c>
      <c r="AY18" s="1" t="str">
        <f t="shared" si="9"/>
        <v/>
      </c>
      <c r="AZ18" s="1">
        <f t="shared" si="10"/>
        <v>0.84673713235294112</v>
      </c>
      <c r="BA18" s="1" t="str">
        <f t="shared" si="11"/>
        <v/>
      </c>
      <c r="BB18" s="1" t="str">
        <f t="shared" si="12"/>
        <v/>
      </c>
      <c r="BC18" s="1" t="str">
        <f t="shared" si="13"/>
        <v/>
      </c>
      <c r="BD18" s="1" t="str">
        <f t="shared" si="14"/>
        <v/>
      </c>
      <c r="BE18" s="1" t="str">
        <f t="shared" si="15"/>
        <v/>
      </c>
      <c r="BF18" s="1" t="str">
        <f t="shared" si="16"/>
        <v/>
      </c>
      <c r="BG18" s="1" t="str">
        <f t="shared" si="17"/>
        <v/>
      </c>
      <c r="BH18" s="1">
        <f t="shared" si="18"/>
        <v>0.5788651743883394</v>
      </c>
      <c r="BI18" s="1">
        <f t="shared" si="19"/>
        <v>2.2366360993066429E-5</v>
      </c>
      <c r="BJ18" s="1" t="str">
        <f t="shared" si="20"/>
        <v/>
      </c>
      <c r="BK18" s="1">
        <f t="shared" si="21"/>
        <v>9.7583934734860364E-2</v>
      </c>
      <c r="BL18" s="1" t="str">
        <f t="shared" si="22"/>
        <v/>
      </c>
      <c r="BM18" s="1" t="str">
        <f t="shared" si="23"/>
        <v/>
      </c>
      <c r="BN18" s="1" t="str">
        <f t="shared" si="24"/>
        <v/>
      </c>
      <c r="BO18" s="1" t="str">
        <f t="shared" si="25"/>
        <v/>
      </c>
      <c r="BP18" s="1" t="str">
        <f t="shared" si="26"/>
        <v/>
      </c>
      <c r="BQ18" s="1" t="str">
        <f t="shared" si="27"/>
        <v/>
      </c>
      <c r="BR18" s="1">
        <f t="shared" si="28"/>
        <v>2.0214319841649036</v>
      </c>
      <c r="BS18" s="1" t="str">
        <f t="shared" si="29"/>
        <v/>
      </c>
      <c r="BT18" s="1" t="str">
        <f t="shared" si="30"/>
        <v/>
      </c>
      <c r="BU18" s="1" t="str">
        <f t="shared" si="31"/>
        <v/>
      </c>
      <c r="BV18" s="1" t="str">
        <f t="shared" si="32"/>
        <v/>
      </c>
      <c r="BW18" s="1" t="str">
        <f t="shared" si="33"/>
        <v/>
      </c>
      <c r="BX18" s="1">
        <f t="shared" si="34"/>
        <v>0.83752226400158325</v>
      </c>
      <c r="BY18" s="1" t="str">
        <f t="shared" si="35"/>
        <v/>
      </c>
      <c r="BZ18" s="1">
        <f t="shared" si="36"/>
        <v>0.44507452200531944</v>
      </c>
      <c r="CA18" s="1" t="str">
        <f t="shared" si="37"/>
        <v/>
      </c>
      <c r="CB18" s="1" t="str">
        <f t="shared" si="38"/>
        <v/>
      </c>
      <c r="CC18" s="1" t="str">
        <f t="shared" si="39"/>
        <v/>
      </c>
      <c r="CD18" s="1" t="str">
        <f t="shared" si="40"/>
        <v/>
      </c>
      <c r="CE18" s="1" t="str">
        <f t="shared" si="41"/>
        <v/>
      </c>
      <c r="CF18" s="1" t="str">
        <f t="shared" si="42"/>
        <v/>
      </c>
      <c r="CG18" s="1">
        <f t="shared" si="43"/>
        <v>0.71979865771812079</v>
      </c>
      <c r="CH18" s="1" t="str">
        <f t="shared" si="44"/>
        <v/>
      </c>
      <c r="CI18" s="1" t="str">
        <f t="shared" si="45"/>
        <v/>
      </c>
      <c r="CJ18" s="1" t="str">
        <f t="shared" si="46"/>
        <v/>
      </c>
      <c r="CK18" s="1">
        <f t="shared" si="47"/>
        <v>0.17307692307692307</v>
      </c>
      <c r="CL18" s="1" t="str">
        <f t="shared" si="48"/>
        <v/>
      </c>
      <c r="CM18" s="1">
        <f t="shared" si="49"/>
        <v>0.23333333333333334</v>
      </c>
      <c r="CN18" s="1" t="str">
        <f t="shared" si="50"/>
        <v/>
      </c>
      <c r="CO18" s="1" t="str">
        <f t="shared" si="51"/>
        <v/>
      </c>
      <c r="CP18" s="1" t="str">
        <f t="shared" si="52"/>
        <v/>
      </c>
      <c r="CQ18" s="1" t="str">
        <f t="shared" si="53"/>
        <v/>
      </c>
      <c r="CR18" s="1">
        <f t="shared" si="54"/>
        <v>1.0149812734082397</v>
      </c>
      <c r="CS18" s="1">
        <f t="shared" si="55"/>
        <v>0.17415730337078653</v>
      </c>
      <c r="CT18" s="1">
        <f t="shared" si="56"/>
        <v>0.51933701657458564</v>
      </c>
    </row>
    <row r="19" spans="1:98" x14ac:dyDescent="0.3">
      <c r="A19">
        <v>1999</v>
      </c>
      <c r="C19">
        <v>6301</v>
      </c>
      <c r="P19">
        <v>5442</v>
      </c>
      <c r="Q19">
        <v>22053</v>
      </c>
      <c r="R19" s="2">
        <v>33</v>
      </c>
      <c r="S19" s="2">
        <v>66</v>
      </c>
      <c r="U19">
        <v>34979</v>
      </c>
      <c r="X19" s="2">
        <v>564</v>
      </c>
      <c r="AC19">
        <v>9152</v>
      </c>
      <c r="AN19">
        <v>205</v>
      </c>
      <c r="AP19" s="2">
        <v>19</v>
      </c>
      <c r="AU19">
        <v>284</v>
      </c>
      <c r="AY19" s="1" t="str">
        <f t="shared" si="9"/>
        <v/>
      </c>
      <c r="AZ19" s="1">
        <f t="shared" si="10"/>
        <v>0.72392003676470584</v>
      </c>
      <c r="BA19" s="1" t="str">
        <f t="shared" si="11"/>
        <v/>
      </c>
      <c r="BB19" s="1" t="str">
        <f t="shared" si="12"/>
        <v/>
      </c>
      <c r="BC19" s="1" t="str">
        <f t="shared" si="13"/>
        <v/>
      </c>
      <c r="BD19" s="1" t="str">
        <f t="shared" si="14"/>
        <v/>
      </c>
      <c r="BE19" s="1" t="str">
        <f t="shared" si="15"/>
        <v/>
      </c>
      <c r="BF19" s="1" t="str">
        <f t="shared" si="16"/>
        <v/>
      </c>
      <c r="BG19" s="1" t="str">
        <f t="shared" si="17"/>
        <v/>
      </c>
      <c r="BH19" s="1" t="str">
        <f t="shared" si="18"/>
        <v/>
      </c>
      <c r="BI19" s="1" t="str">
        <f t="shared" si="19"/>
        <v/>
      </c>
      <c r="BJ19" s="1" t="str">
        <f t="shared" si="20"/>
        <v/>
      </c>
      <c r="BK19" s="1" t="str">
        <f t="shared" si="21"/>
        <v/>
      </c>
      <c r="BL19" s="1" t="str">
        <f t="shared" si="22"/>
        <v/>
      </c>
      <c r="BM19" s="1">
        <f t="shared" si="23"/>
        <v>1.1128834355828221</v>
      </c>
      <c r="BN19" s="1">
        <f t="shared" si="24"/>
        <v>2.0048181818181816</v>
      </c>
      <c r="BO19" s="1">
        <f t="shared" si="25"/>
        <v>1.281055900621118E-2</v>
      </c>
      <c r="BP19" s="1">
        <f t="shared" si="26"/>
        <v>1.346389228886169E-2</v>
      </c>
      <c r="BQ19" s="1" t="str">
        <f t="shared" si="27"/>
        <v/>
      </c>
      <c r="BR19" s="1">
        <f t="shared" si="28"/>
        <v>2.3874820831342571</v>
      </c>
      <c r="BS19" s="1" t="str">
        <f t="shared" si="29"/>
        <v/>
      </c>
      <c r="BT19" s="1" t="str">
        <f t="shared" si="30"/>
        <v/>
      </c>
      <c r="BU19" s="1">
        <f t="shared" si="31"/>
        <v>0.72307692307692306</v>
      </c>
      <c r="BV19" s="1" t="str">
        <f t="shared" si="32"/>
        <v/>
      </c>
      <c r="BW19" s="1" t="str">
        <f t="shared" si="33"/>
        <v/>
      </c>
      <c r="BX19" s="1" t="str">
        <f t="shared" si="34"/>
        <v/>
      </c>
      <c r="BY19" s="1" t="str">
        <f t="shared" si="35"/>
        <v/>
      </c>
      <c r="BZ19" s="1">
        <f t="shared" si="36"/>
        <v>0.4592763587092889</v>
      </c>
      <c r="CA19" s="1" t="str">
        <f t="shared" si="37"/>
        <v/>
      </c>
      <c r="CB19" s="1" t="str">
        <f t="shared" si="38"/>
        <v/>
      </c>
      <c r="CC19" s="1" t="str">
        <f t="shared" si="39"/>
        <v/>
      </c>
      <c r="CD19" s="1" t="str">
        <f t="shared" si="40"/>
        <v/>
      </c>
      <c r="CE19" s="1" t="str">
        <f t="shared" si="41"/>
        <v/>
      </c>
      <c r="CF19" s="1" t="str">
        <f t="shared" si="42"/>
        <v/>
      </c>
      <c r="CG19" s="1" t="str">
        <f t="shared" si="43"/>
        <v/>
      </c>
      <c r="CH19" s="1" t="str">
        <f t="shared" si="44"/>
        <v/>
      </c>
      <c r="CI19" s="1" t="str">
        <f t="shared" si="45"/>
        <v/>
      </c>
      <c r="CJ19" s="1" t="str">
        <f t="shared" si="46"/>
        <v/>
      </c>
      <c r="CK19" s="1">
        <f t="shared" si="47"/>
        <v>0.19711538461538461</v>
      </c>
      <c r="CL19" s="1" t="str">
        <f t="shared" si="48"/>
        <v/>
      </c>
      <c r="CM19" s="1">
        <f t="shared" si="49"/>
        <v>0.21111111111111111</v>
      </c>
      <c r="CN19" s="1" t="str">
        <f t="shared" si="50"/>
        <v/>
      </c>
      <c r="CO19" s="1" t="str">
        <f t="shared" si="51"/>
        <v/>
      </c>
      <c r="CP19" s="1" t="str">
        <f t="shared" si="52"/>
        <v/>
      </c>
      <c r="CQ19" s="1" t="str">
        <f t="shared" si="53"/>
        <v/>
      </c>
      <c r="CR19" s="1">
        <f t="shared" si="54"/>
        <v>1.0636704119850187</v>
      </c>
      <c r="CS19" s="1" t="str">
        <f t="shared" si="55"/>
        <v/>
      </c>
      <c r="CT19" s="1" t="str">
        <f t="shared" si="56"/>
        <v/>
      </c>
    </row>
    <row r="20" spans="1:98" x14ac:dyDescent="0.3">
      <c r="A20">
        <v>2000</v>
      </c>
      <c r="B20">
        <v>1599</v>
      </c>
      <c r="X20" s="2">
        <v>490</v>
      </c>
      <c r="Z20" s="2">
        <v>0.1</v>
      </c>
      <c r="AC20">
        <v>8356</v>
      </c>
      <c r="AO20">
        <v>130</v>
      </c>
      <c r="AP20" s="2">
        <v>33</v>
      </c>
      <c r="AU20">
        <v>316</v>
      </c>
      <c r="AW20">
        <v>300</v>
      </c>
      <c r="AY20" s="1">
        <f t="shared" si="9"/>
        <v>0.33934634974533107</v>
      </c>
      <c r="AZ20" s="1" t="str">
        <f t="shared" si="10"/>
        <v/>
      </c>
      <c r="BA20" s="1" t="str">
        <f t="shared" si="11"/>
        <v/>
      </c>
      <c r="BB20" s="1" t="str">
        <f t="shared" si="12"/>
        <v/>
      </c>
      <c r="BC20" s="1" t="str">
        <f t="shared" si="13"/>
        <v/>
      </c>
      <c r="BD20" s="1" t="str">
        <f t="shared" si="14"/>
        <v/>
      </c>
      <c r="BE20" s="1" t="str">
        <f t="shared" si="15"/>
        <v/>
      </c>
      <c r="BF20" s="1" t="str">
        <f t="shared" si="16"/>
        <v/>
      </c>
      <c r="BG20" s="1" t="str">
        <f t="shared" si="17"/>
        <v/>
      </c>
      <c r="BH20" s="1" t="str">
        <f t="shared" si="18"/>
        <v/>
      </c>
      <c r="BI20" s="1" t="str">
        <f t="shared" si="19"/>
        <v/>
      </c>
      <c r="BJ20" s="1" t="str">
        <f t="shared" si="20"/>
        <v/>
      </c>
      <c r="BK20" s="1" t="str">
        <f t="shared" si="21"/>
        <v/>
      </c>
      <c r="BL20" s="1" t="str">
        <f t="shared" si="22"/>
        <v/>
      </c>
      <c r="BM20" s="1" t="str">
        <f t="shared" si="23"/>
        <v/>
      </c>
      <c r="BN20" s="1" t="str">
        <f t="shared" si="24"/>
        <v/>
      </c>
      <c r="BO20" s="1" t="str">
        <f t="shared" si="25"/>
        <v/>
      </c>
      <c r="BP20" s="1" t="str">
        <f t="shared" si="26"/>
        <v/>
      </c>
      <c r="BQ20" s="1" t="str">
        <f t="shared" si="27"/>
        <v/>
      </c>
      <c r="BR20" s="1" t="str">
        <f t="shared" si="28"/>
        <v/>
      </c>
      <c r="BS20" s="1" t="str">
        <f t="shared" si="29"/>
        <v/>
      </c>
      <c r="BT20" s="1" t="str">
        <f t="shared" si="30"/>
        <v/>
      </c>
      <c r="BU20" s="1">
        <f t="shared" si="31"/>
        <v>0.62820512820512819</v>
      </c>
      <c r="BV20" s="1" t="str">
        <f t="shared" si="32"/>
        <v/>
      </c>
      <c r="BW20" s="1">
        <f t="shared" si="33"/>
        <v>6.5789473684210525E-4</v>
      </c>
      <c r="BX20" s="1" t="str">
        <f t="shared" si="34"/>
        <v/>
      </c>
      <c r="BY20" s="1" t="str">
        <f t="shared" si="35"/>
        <v/>
      </c>
      <c r="BZ20" s="1">
        <f t="shared" si="36"/>
        <v>0.41933055653133938</v>
      </c>
      <c r="CA20" s="1" t="str">
        <f t="shared" si="37"/>
        <v/>
      </c>
      <c r="CB20" s="1" t="str">
        <f t="shared" si="38"/>
        <v/>
      </c>
      <c r="CC20" s="1" t="str">
        <f t="shared" si="39"/>
        <v/>
      </c>
      <c r="CD20" s="1" t="str">
        <f t="shared" si="40"/>
        <v/>
      </c>
      <c r="CE20" s="1" t="str">
        <f t="shared" si="41"/>
        <v/>
      </c>
      <c r="CF20" s="1" t="str">
        <f t="shared" si="42"/>
        <v/>
      </c>
      <c r="CG20" s="1" t="str">
        <f t="shared" si="43"/>
        <v/>
      </c>
      <c r="CH20" s="1" t="str">
        <f t="shared" si="44"/>
        <v/>
      </c>
      <c r="CI20" s="1" t="str">
        <f t="shared" si="45"/>
        <v/>
      </c>
      <c r="CJ20" s="1" t="str">
        <f t="shared" si="46"/>
        <v/>
      </c>
      <c r="CK20" s="1" t="str">
        <f t="shared" si="47"/>
        <v/>
      </c>
      <c r="CL20" s="1">
        <f t="shared" si="48"/>
        <v>0.43478260869565216</v>
      </c>
      <c r="CM20" s="1">
        <f t="shared" si="49"/>
        <v>0.36666666666666664</v>
      </c>
      <c r="CN20" s="1" t="str">
        <f t="shared" si="50"/>
        <v/>
      </c>
      <c r="CO20" s="1" t="str">
        <f t="shared" si="51"/>
        <v/>
      </c>
      <c r="CP20" s="1" t="str">
        <f t="shared" si="52"/>
        <v/>
      </c>
      <c r="CQ20" s="1" t="str">
        <f t="shared" si="53"/>
        <v/>
      </c>
      <c r="CR20" s="1">
        <f t="shared" si="54"/>
        <v>1.1835205992509363</v>
      </c>
      <c r="CS20" s="1" t="str">
        <f t="shared" si="55"/>
        <v/>
      </c>
      <c r="CT20" s="1">
        <f t="shared" si="56"/>
        <v>0.5524861878453039</v>
      </c>
    </row>
    <row r="21" spans="1:98" x14ac:dyDescent="0.3">
      <c r="A21">
        <v>2001</v>
      </c>
      <c r="B21">
        <v>3750</v>
      </c>
      <c r="H21">
        <v>3708</v>
      </c>
      <c r="N21">
        <v>3729</v>
      </c>
      <c r="P21">
        <v>6048</v>
      </c>
      <c r="Q21">
        <v>33219</v>
      </c>
      <c r="R21" s="2">
        <v>255</v>
      </c>
      <c r="S21" s="2">
        <v>190</v>
      </c>
      <c r="T21" s="2">
        <v>4201</v>
      </c>
      <c r="U21">
        <v>44492</v>
      </c>
      <c r="V21">
        <v>5011</v>
      </c>
      <c r="W21" s="2">
        <v>1716</v>
      </c>
      <c r="X21" s="2">
        <v>718</v>
      </c>
      <c r="Z21" s="2">
        <v>11</v>
      </c>
      <c r="AA21">
        <v>4987</v>
      </c>
      <c r="AC21">
        <v>9276</v>
      </c>
      <c r="AO21">
        <v>140</v>
      </c>
      <c r="AR21" s="2">
        <v>24</v>
      </c>
      <c r="AS21" s="2">
        <v>310</v>
      </c>
      <c r="AV21">
        <v>111</v>
      </c>
      <c r="AW21">
        <v>389</v>
      </c>
      <c r="AY21" s="1">
        <f t="shared" si="9"/>
        <v>0.79584040747028861</v>
      </c>
      <c r="AZ21" s="1" t="str">
        <f t="shared" si="10"/>
        <v/>
      </c>
      <c r="BA21" s="1" t="str">
        <f t="shared" si="11"/>
        <v/>
      </c>
      <c r="BB21" s="1" t="str">
        <f t="shared" si="12"/>
        <v/>
      </c>
      <c r="BC21" s="1" t="str">
        <f t="shared" si="13"/>
        <v/>
      </c>
      <c r="BD21" s="1" t="str">
        <f t="shared" si="14"/>
        <v/>
      </c>
      <c r="BE21" s="1">
        <f t="shared" si="15"/>
        <v>1.6885245901639345</v>
      </c>
      <c r="BF21" s="1" t="str">
        <f t="shared" si="16"/>
        <v/>
      </c>
      <c r="BG21" s="1" t="str">
        <f t="shared" si="17"/>
        <v/>
      </c>
      <c r="BH21" s="1" t="str">
        <f t="shared" si="18"/>
        <v/>
      </c>
      <c r="BI21" s="1" t="str">
        <f t="shared" si="19"/>
        <v/>
      </c>
      <c r="BJ21" s="1" t="str">
        <f t="shared" si="20"/>
        <v/>
      </c>
      <c r="BK21" s="1">
        <f t="shared" si="21"/>
        <v>0.1671522703841499</v>
      </c>
      <c r="BL21" s="1" t="str">
        <f t="shared" si="22"/>
        <v/>
      </c>
      <c r="BM21" s="1">
        <f t="shared" si="23"/>
        <v>1.2368098159509202</v>
      </c>
      <c r="BN21" s="1">
        <f t="shared" si="24"/>
        <v>3.0199090909090911</v>
      </c>
      <c r="BO21" s="1">
        <f t="shared" si="25"/>
        <v>9.8990683229813664E-2</v>
      </c>
      <c r="BP21" s="1">
        <f t="shared" si="26"/>
        <v>3.875968992248062E-2</v>
      </c>
      <c r="BQ21" s="1">
        <f t="shared" si="27"/>
        <v>0.85507836352534095</v>
      </c>
      <c r="BR21" s="1">
        <f t="shared" si="28"/>
        <v>3.0367892976588631</v>
      </c>
      <c r="BS21" s="1">
        <f t="shared" si="29"/>
        <v>2.6235602094240837</v>
      </c>
      <c r="BT21" s="1">
        <f t="shared" si="30"/>
        <v>1.2196162046908317</v>
      </c>
      <c r="BU21" s="1">
        <f t="shared" si="31"/>
        <v>0.92051282051282046</v>
      </c>
      <c r="BV21" s="1" t="str">
        <f t="shared" si="32"/>
        <v/>
      </c>
      <c r="BW21" s="1">
        <f t="shared" si="33"/>
        <v>7.2368421052631582E-2</v>
      </c>
      <c r="BX21" s="1">
        <f t="shared" si="34"/>
        <v>0.98693845240451217</v>
      </c>
      <c r="BY21" s="1" t="str">
        <f t="shared" si="35"/>
        <v/>
      </c>
      <c r="BZ21" s="1">
        <f t="shared" si="36"/>
        <v>0.46549907161138154</v>
      </c>
      <c r="CA21" s="1" t="str">
        <f t="shared" si="37"/>
        <v/>
      </c>
      <c r="CB21" s="1" t="str">
        <f t="shared" si="38"/>
        <v/>
      </c>
      <c r="CC21" s="1" t="str">
        <f t="shared" si="39"/>
        <v/>
      </c>
      <c r="CD21" s="1" t="str">
        <f t="shared" si="40"/>
        <v/>
      </c>
      <c r="CE21" s="1" t="str">
        <f t="shared" si="41"/>
        <v/>
      </c>
      <c r="CF21" s="1" t="str">
        <f t="shared" si="42"/>
        <v/>
      </c>
      <c r="CG21" s="1" t="str">
        <f t="shared" si="43"/>
        <v/>
      </c>
      <c r="CH21" s="1" t="str">
        <f t="shared" si="44"/>
        <v/>
      </c>
      <c r="CI21" s="1" t="str">
        <f t="shared" si="45"/>
        <v/>
      </c>
      <c r="CJ21" s="1" t="str">
        <f t="shared" si="46"/>
        <v/>
      </c>
      <c r="CK21" s="1" t="str">
        <f t="shared" si="47"/>
        <v/>
      </c>
      <c r="CL21" s="1">
        <f t="shared" si="48"/>
        <v>0.4682274247491639</v>
      </c>
      <c r="CM21" s="1" t="str">
        <f t="shared" si="49"/>
        <v/>
      </c>
      <c r="CN21" s="1" t="str">
        <f t="shared" si="50"/>
        <v/>
      </c>
      <c r="CO21" s="1">
        <f t="shared" si="51"/>
        <v>1.7229002153625269E-2</v>
      </c>
      <c r="CP21" s="1">
        <f t="shared" si="52"/>
        <v>0.35267349260523323</v>
      </c>
      <c r="CQ21" s="1" t="str">
        <f t="shared" si="53"/>
        <v/>
      </c>
      <c r="CR21" s="1" t="str">
        <f t="shared" si="54"/>
        <v/>
      </c>
      <c r="CS21" s="1">
        <f t="shared" si="55"/>
        <v>0.20786516853932585</v>
      </c>
      <c r="CT21" s="1">
        <f t="shared" si="56"/>
        <v>0.71639042357274396</v>
      </c>
    </row>
    <row r="22" spans="1:98" x14ac:dyDescent="0.3">
      <c r="A22">
        <v>2002</v>
      </c>
      <c r="C22">
        <v>4459</v>
      </c>
      <c r="F22">
        <v>117</v>
      </c>
      <c r="N22">
        <v>2197</v>
      </c>
      <c r="P22">
        <v>9562</v>
      </c>
      <c r="Q22">
        <v>31598</v>
      </c>
      <c r="R22" s="2">
        <v>0.1</v>
      </c>
      <c r="S22" s="2">
        <v>337</v>
      </c>
      <c r="Y22" s="2">
        <v>59</v>
      </c>
      <c r="AB22" s="2">
        <v>27</v>
      </c>
      <c r="AC22">
        <v>10459</v>
      </c>
      <c r="AE22">
        <v>467</v>
      </c>
      <c r="AF22">
        <v>80</v>
      </c>
      <c r="AG22">
        <v>88</v>
      </c>
      <c r="AH22">
        <v>372</v>
      </c>
      <c r="AJ22">
        <v>757</v>
      </c>
      <c r="AK22">
        <v>150</v>
      </c>
      <c r="AN22">
        <v>141</v>
      </c>
      <c r="AO22">
        <v>179</v>
      </c>
      <c r="AQ22" s="2">
        <v>28</v>
      </c>
      <c r="AR22" s="2">
        <v>31</v>
      </c>
      <c r="AT22" s="2">
        <v>61</v>
      </c>
      <c r="AU22">
        <v>340</v>
      </c>
      <c r="AV22">
        <v>162</v>
      </c>
      <c r="AW22">
        <v>392</v>
      </c>
      <c r="AY22" s="1" t="str">
        <f t="shared" si="9"/>
        <v/>
      </c>
      <c r="AZ22" s="1">
        <f t="shared" si="10"/>
        <v>0.5122931985294118</v>
      </c>
      <c r="BA22" s="1" t="str">
        <f t="shared" si="11"/>
        <v/>
      </c>
      <c r="BB22" s="1" t="str">
        <f t="shared" si="12"/>
        <v/>
      </c>
      <c r="BC22" s="1">
        <f t="shared" si="13"/>
        <v>4.959728698601102E-2</v>
      </c>
      <c r="BD22" s="1" t="str">
        <f t="shared" si="14"/>
        <v/>
      </c>
      <c r="BE22" s="1" t="str">
        <f t="shared" si="15"/>
        <v/>
      </c>
      <c r="BF22" s="1" t="str">
        <f t="shared" si="16"/>
        <v/>
      </c>
      <c r="BG22" s="1" t="str">
        <f t="shared" si="17"/>
        <v/>
      </c>
      <c r="BH22" s="1" t="str">
        <f t="shared" si="18"/>
        <v/>
      </c>
      <c r="BI22" s="1" t="str">
        <f t="shared" si="19"/>
        <v/>
      </c>
      <c r="BJ22" s="1" t="str">
        <f t="shared" si="20"/>
        <v/>
      </c>
      <c r="BK22" s="1">
        <f t="shared" si="21"/>
        <v>9.8480433905598644E-2</v>
      </c>
      <c r="BL22" s="1" t="str">
        <f t="shared" si="22"/>
        <v/>
      </c>
      <c r="BM22" s="1">
        <f t="shared" si="23"/>
        <v>1.9554192229038856</v>
      </c>
      <c r="BN22" s="1">
        <f t="shared" si="24"/>
        <v>2.8725454545454547</v>
      </c>
      <c r="BO22" s="1">
        <f t="shared" si="25"/>
        <v>3.8819875776397517E-5</v>
      </c>
      <c r="BP22" s="1">
        <f t="shared" si="26"/>
        <v>6.8747450020399836E-2</v>
      </c>
      <c r="BQ22" s="1" t="str">
        <f t="shared" si="27"/>
        <v/>
      </c>
      <c r="BR22" s="1" t="str">
        <f t="shared" si="28"/>
        <v/>
      </c>
      <c r="BS22" s="1" t="str">
        <f t="shared" si="29"/>
        <v/>
      </c>
      <c r="BT22" s="1" t="str">
        <f t="shared" si="30"/>
        <v/>
      </c>
      <c r="BU22" s="1" t="str">
        <f t="shared" si="31"/>
        <v/>
      </c>
      <c r="BV22" s="1">
        <f t="shared" si="32"/>
        <v>0.14496314496314497</v>
      </c>
      <c r="BW22" s="1" t="str">
        <f t="shared" si="33"/>
        <v/>
      </c>
      <c r="BX22" s="1" t="str">
        <f t="shared" si="34"/>
        <v/>
      </c>
      <c r="BY22" s="1">
        <f t="shared" si="35"/>
        <v>7.43801652892562E-2</v>
      </c>
      <c r="BZ22" s="1">
        <f t="shared" si="36"/>
        <v>0.52486576002408791</v>
      </c>
      <c r="CA22" s="1" t="str">
        <f t="shared" si="37"/>
        <v/>
      </c>
      <c r="CB22" s="1">
        <f t="shared" si="38"/>
        <v>0.79152542372881352</v>
      </c>
      <c r="CC22" s="1">
        <f t="shared" si="39"/>
        <v>0.67796610169491522</v>
      </c>
      <c r="CD22" s="1">
        <f t="shared" si="40"/>
        <v>0.60689655172413792</v>
      </c>
      <c r="CE22" s="1">
        <f t="shared" si="41"/>
        <v>0.71128107074569791</v>
      </c>
      <c r="CF22" s="1" t="str">
        <f t="shared" si="42"/>
        <v/>
      </c>
      <c r="CG22" s="1">
        <f t="shared" si="43"/>
        <v>1.2701342281879195</v>
      </c>
      <c r="CH22" s="1">
        <f t="shared" si="44"/>
        <v>1.4999999999999999E-2</v>
      </c>
      <c r="CI22" s="1" t="str">
        <f t="shared" si="45"/>
        <v/>
      </c>
      <c r="CJ22" s="1" t="str">
        <f t="shared" si="46"/>
        <v/>
      </c>
      <c r="CK22" s="1">
        <f t="shared" si="47"/>
        <v>0.13557692307692307</v>
      </c>
      <c r="CL22" s="1">
        <f t="shared" si="48"/>
        <v>0.59866220735785958</v>
      </c>
      <c r="CM22" s="1" t="str">
        <f t="shared" si="49"/>
        <v/>
      </c>
      <c r="CN22" s="1">
        <f t="shared" si="50"/>
        <v>8.408408408408409E-2</v>
      </c>
      <c r="CO22" s="1">
        <f t="shared" si="51"/>
        <v>2.2254127781765973E-2</v>
      </c>
      <c r="CP22" s="1" t="str">
        <f t="shared" si="52"/>
        <v/>
      </c>
      <c r="CQ22" s="1">
        <f t="shared" si="53"/>
        <v>0.20819112627986347</v>
      </c>
      <c r="CR22" s="1">
        <f t="shared" si="54"/>
        <v>1.2734082397003745</v>
      </c>
      <c r="CS22" s="1">
        <f t="shared" si="55"/>
        <v>0.30337078651685395</v>
      </c>
      <c r="CT22" s="1">
        <f t="shared" si="56"/>
        <v>0.7219152854511971</v>
      </c>
    </row>
    <row r="23" spans="1:98" x14ac:dyDescent="0.3">
      <c r="A23">
        <v>2003</v>
      </c>
      <c r="B23">
        <v>3235</v>
      </c>
      <c r="G23">
        <v>1477</v>
      </c>
      <c r="H23">
        <v>4285</v>
      </c>
      <c r="P23">
        <v>5862</v>
      </c>
      <c r="Q23">
        <v>30348</v>
      </c>
      <c r="R23" s="2">
        <v>304</v>
      </c>
      <c r="S23" s="2">
        <v>149</v>
      </c>
      <c r="Z23" s="2">
        <v>2</v>
      </c>
      <c r="AC23">
        <v>11672</v>
      </c>
      <c r="AR23" s="2">
        <v>38</v>
      </c>
      <c r="AU23">
        <v>374</v>
      </c>
      <c r="AV23">
        <v>170</v>
      </c>
      <c r="AW23">
        <v>424</v>
      </c>
      <c r="AY23" s="1">
        <f t="shared" si="9"/>
        <v>0.68654499151103565</v>
      </c>
      <c r="AZ23" s="1" t="str">
        <f t="shared" si="10"/>
        <v/>
      </c>
      <c r="BA23" s="1" t="str">
        <f t="shared" si="11"/>
        <v/>
      </c>
      <c r="BB23" s="1" t="str">
        <f t="shared" si="12"/>
        <v/>
      </c>
      <c r="BC23" s="1" t="str">
        <f t="shared" si="13"/>
        <v/>
      </c>
      <c r="BD23" s="1">
        <f t="shared" si="14"/>
        <v>0.35650494810523775</v>
      </c>
      <c r="BE23" s="1">
        <f t="shared" si="15"/>
        <v>1.9512750455373407</v>
      </c>
      <c r="BF23" s="1" t="str">
        <f t="shared" si="16"/>
        <v/>
      </c>
      <c r="BG23" s="1" t="str">
        <f t="shared" si="17"/>
        <v/>
      </c>
      <c r="BH23" s="1" t="str">
        <f t="shared" si="18"/>
        <v/>
      </c>
      <c r="BI23" s="1" t="str">
        <f t="shared" si="19"/>
        <v/>
      </c>
      <c r="BJ23" s="1" t="str">
        <f t="shared" si="20"/>
        <v/>
      </c>
      <c r="BK23" s="1" t="str">
        <f t="shared" si="21"/>
        <v/>
      </c>
      <c r="BL23" s="1" t="str">
        <f t="shared" si="22"/>
        <v/>
      </c>
      <c r="BM23" s="1">
        <f t="shared" si="23"/>
        <v>1.1987730061349693</v>
      </c>
      <c r="BN23" s="1">
        <f t="shared" si="24"/>
        <v>2.758909090909091</v>
      </c>
      <c r="BO23" s="1">
        <f t="shared" si="25"/>
        <v>0.11801242236024845</v>
      </c>
      <c r="BP23" s="1">
        <f t="shared" si="26"/>
        <v>3.0395756833945329E-2</v>
      </c>
      <c r="BQ23" s="1" t="str">
        <f t="shared" si="27"/>
        <v/>
      </c>
      <c r="BR23" s="1" t="str">
        <f t="shared" si="28"/>
        <v/>
      </c>
      <c r="BS23" s="1" t="str">
        <f t="shared" si="29"/>
        <v/>
      </c>
      <c r="BT23" s="1" t="str">
        <f t="shared" si="30"/>
        <v/>
      </c>
      <c r="BU23" s="1" t="str">
        <f t="shared" si="31"/>
        <v/>
      </c>
      <c r="BV23" s="1" t="str">
        <f t="shared" si="32"/>
        <v/>
      </c>
      <c r="BW23" s="1">
        <f t="shared" si="33"/>
        <v>1.3157894736842105E-2</v>
      </c>
      <c r="BX23" s="1" t="str">
        <f t="shared" si="34"/>
        <v/>
      </c>
      <c r="BY23" s="1" t="str">
        <f t="shared" si="35"/>
        <v/>
      </c>
      <c r="BZ23" s="1">
        <f t="shared" si="36"/>
        <v>0.58573794349375219</v>
      </c>
      <c r="CA23" s="1" t="str">
        <f t="shared" si="37"/>
        <v/>
      </c>
      <c r="CB23" s="1" t="str">
        <f t="shared" si="38"/>
        <v/>
      </c>
      <c r="CC23" s="1" t="str">
        <f t="shared" si="39"/>
        <v/>
      </c>
      <c r="CD23" s="1" t="str">
        <f t="shared" si="40"/>
        <v/>
      </c>
      <c r="CE23" s="1" t="str">
        <f t="shared" si="41"/>
        <v/>
      </c>
      <c r="CF23" s="1" t="str">
        <f t="shared" si="42"/>
        <v/>
      </c>
      <c r="CG23" s="1" t="str">
        <f t="shared" si="43"/>
        <v/>
      </c>
      <c r="CH23" s="1" t="str">
        <f t="shared" si="44"/>
        <v/>
      </c>
      <c r="CI23" s="1" t="str">
        <f t="shared" si="45"/>
        <v/>
      </c>
      <c r="CJ23" s="1" t="str">
        <f t="shared" si="46"/>
        <v/>
      </c>
      <c r="CK23" s="1" t="str">
        <f t="shared" si="47"/>
        <v/>
      </c>
      <c r="CL23" s="1" t="str">
        <f t="shared" si="48"/>
        <v/>
      </c>
      <c r="CM23" s="1" t="str">
        <f t="shared" si="49"/>
        <v/>
      </c>
      <c r="CN23" s="1" t="str">
        <f t="shared" si="50"/>
        <v/>
      </c>
      <c r="CO23" s="1">
        <f t="shared" si="51"/>
        <v>2.7279253409906678E-2</v>
      </c>
      <c r="CP23" s="1" t="str">
        <f t="shared" si="52"/>
        <v/>
      </c>
      <c r="CQ23" s="1" t="str">
        <f t="shared" si="53"/>
        <v/>
      </c>
      <c r="CR23" s="1">
        <f t="shared" si="54"/>
        <v>1.4007490636704121</v>
      </c>
      <c r="CS23" s="1">
        <f t="shared" si="55"/>
        <v>0.31835205992509363</v>
      </c>
      <c r="CT23" s="1">
        <f t="shared" si="56"/>
        <v>0.78084714548802947</v>
      </c>
    </row>
    <row r="24" spans="1:98" x14ac:dyDescent="0.3">
      <c r="A24">
        <v>2004</v>
      </c>
      <c r="I24">
        <v>366</v>
      </c>
      <c r="K24">
        <v>3099</v>
      </c>
      <c r="L24" s="2">
        <v>38</v>
      </c>
      <c r="N24">
        <v>1555</v>
      </c>
      <c r="O24" s="2">
        <v>899</v>
      </c>
      <c r="P24">
        <v>9143</v>
      </c>
      <c r="Q24">
        <v>32263</v>
      </c>
      <c r="R24" s="2">
        <v>242</v>
      </c>
      <c r="S24" s="2">
        <v>850</v>
      </c>
      <c r="X24" s="2">
        <v>278</v>
      </c>
      <c r="AC24">
        <v>11483</v>
      </c>
      <c r="AE24">
        <v>278</v>
      </c>
      <c r="AF24">
        <v>251</v>
      </c>
      <c r="AG24">
        <v>150</v>
      </c>
      <c r="AH24">
        <v>359</v>
      </c>
      <c r="AN24">
        <v>81</v>
      </c>
      <c r="AO24">
        <v>180</v>
      </c>
      <c r="AS24" s="2">
        <v>357</v>
      </c>
      <c r="AU24">
        <v>307</v>
      </c>
      <c r="AV24">
        <v>124</v>
      </c>
      <c r="AW24">
        <v>435</v>
      </c>
      <c r="AY24" s="1" t="str">
        <f t="shared" si="9"/>
        <v/>
      </c>
      <c r="AZ24" s="1" t="str">
        <f t="shared" si="10"/>
        <v/>
      </c>
      <c r="BA24" s="1" t="str">
        <f t="shared" si="11"/>
        <v/>
      </c>
      <c r="BB24" s="1" t="str">
        <f t="shared" si="12"/>
        <v/>
      </c>
      <c r="BC24" s="1" t="str">
        <f t="shared" si="13"/>
        <v/>
      </c>
      <c r="BD24" s="1" t="str">
        <f t="shared" si="14"/>
        <v/>
      </c>
      <c r="BE24" s="1" t="str">
        <f t="shared" si="15"/>
        <v/>
      </c>
      <c r="BF24" s="1">
        <f t="shared" si="16"/>
        <v>2.596849723286505E-2</v>
      </c>
      <c r="BG24" s="1" t="str">
        <f t="shared" si="17"/>
        <v/>
      </c>
      <c r="BH24" s="1">
        <f t="shared" si="18"/>
        <v>0.80661114003123369</v>
      </c>
      <c r="BI24" s="1">
        <f t="shared" si="19"/>
        <v>8.4992171773652422E-3</v>
      </c>
      <c r="BJ24" s="1" t="str">
        <f t="shared" si="20"/>
        <v/>
      </c>
      <c r="BK24" s="1">
        <f t="shared" si="21"/>
        <v>6.9702810524900266E-2</v>
      </c>
      <c r="BL24" s="1">
        <f t="shared" si="22"/>
        <v>0.20075926753014739</v>
      </c>
      <c r="BM24" s="1">
        <f t="shared" si="23"/>
        <v>1.8697341513292434</v>
      </c>
      <c r="BN24" s="1">
        <f t="shared" si="24"/>
        <v>2.9329999999999998</v>
      </c>
      <c r="BO24" s="1">
        <f t="shared" si="25"/>
        <v>9.3944099378881984E-2</v>
      </c>
      <c r="BP24" s="1">
        <f t="shared" si="26"/>
        <v>0.1733986128110975</v>
      </c>
      <c r="BQ24" s="1" t="str">
        <f t="shared" si="27"/>
        <v/>
      </c>
      <c r="BR24" s="1" t="str">
        <f t="shared" si="28"/>
        <v/>
      </c>
      <c r="BS24" s="1" t="str">
        <f t="shared" si="29"/>
        <v/>
      </c>
      <c r="BT24" s="1" t="str">
        <f t="shared" si="30"/>
        <v/>
      </c>
      <c r="BU24" s="1">
        <f t="shared" si="31"/>
        <v>0.35641025641025642</v>
      </c>
      <c r="BV24" s="1" t="str">
        <f t="shared" si="32"/>
        <v/>
      </c>
      <c r="BW24" s="1" t="str">
        <f t="shared" si="33"/>
        <v/>
      </c>
      <c r="BX24" s="1" t="str">
        <f t="shared" si="34"/>
        <v/>
      </c>
      <c r="BY24" s="1" t="str">
        <f t="shared" si="35"/>
        <v/>
      </c>
      <c r="BZ24" s="1">
        <f t="shared" si="36"/>
        <v>0.57625332463491741</v>
      </c>
      <c r="CA24" s="1" t="str">
        <f t="shared" si="37"/>
        <v/>
      </c>
      <c r="CB24" s="1">
        <f t="shared" si="38"/>
        <v>0.47118644067796611</v>
      </c>
      <c r="CC24" s="1">
        <f t="shared" si="39"/>
        <v>2.1271186440677967</v>
      </c>
      <c r="CD24" s="1">
        <f t="shared" si="40"/>
        <v>1.0344827586206897</v>
      </c>
      <c r="CE24" s="1">
        <f t="shared" si="41"/>
        <v>0.68642447418738051</v>
      </c>
      <c r="CF24" s="1" t="str">
        <f t="shared" si="42"/>
        <v/>
      </c>
      <c r="CG24" s="1" t="str">
        <f t="shared" si="43"/>
        <v/>
      </c>
      <c r="CH24" s="1" t="str">
        <f t="shared" si="44"/>
        <v/>
      </c>
      <c r="CI24" s="1" t="str">
        <f t="shared" si="45"/>
        <v/>
      </c>
      <c r="CJ24" s="1" t="str">
        <f t="shared" si="46"/>
        <v/>
      </c>
      <c r="CK24" s="1">
        <f t="shared" si="47"/>
        <v>7.7884615384615385E-2</v>
      </c>
      <c r="CL24" s="1">
        <f t="shared" si="48"/>
        <v>0.60200668896321075</v>
      </c>
      <c r="CM24" s="1" t="str">
        <f t="shared" si="49"/>
        <v/>
      </c>
      <c r="CN24" s="1" t="str">
        <f t="shared" si="50"/>
        <v/>
      </c>
      <c r="CO24" s="1" t="str">
        <f t="shared" si="51"/>
        <v/>
      </c>
      <c r="CP24" s="1">
        <f t="shared" si="52"/>
        <v>0.4061433447098976</v>
      </c>
      <c r="CQ24" s="1" t="str">
        <f t="shared" si="53"/>
        <v/>
      </c>
      <c r="CR24" s="1">
        <f t="shared" si="54"/>
        <v>1.1498127340823969</v>
      </c>
      <c r="CS24" s="1">
        <f t="shared" si="55"/>
        <v>0.23220973782771537</v>
      </c>
      <c r="CT24" s="1">
        <f t="shared" si="56"/>
        <v>0.80110497237569056</v>
      </c>
    </row>
    <row r="25" spans="1:98" x14ac:dyDescent="0.3">
      <c r="A25">
        <v>2005</v>
      </c>
      <c r="E25" s="2">
        <v>0.1</v>
      </c>
      <c r="F25">
        <v>58</v>
      </c>
      <c r="I25">
        <v>1827</v>
      </c>
      <c r="L25" s="2">
        <v>292</v>
      </c>
      <c r="M25" s="2">
        <v>532</v>
      </c>
      <c r="O25" s="2">
        <v>385</v>
      </c>
      <c r="Y25" s="2">
        <v>61</v>
      </c>
      <c r="AB25" s="2">
        <v>39</v>
      </c>
      <c r="AC25">
        <v>12467</v>
      </c>
      <c r="AE25">
        <v>405</v>
      </c>
      <c r="AF25">
        <v>304</v>
      </c>
      <c r="AH25">
        <v>416</v>
      </c>
      <c r="AO25">
        <v>167</v>
      </c>
      <c r="AP25" s="2">
        <v>48</v>
      </c>
      <c r="AQ25" s="2">
        <v>37</v>
      </c>
      <c r="AR25" s="2">
        <v>45</v>
      </c>
      <c r="AT25" s="2">
        <v>84</v>
      </c>
      <c r="AU25">
        <v>310</v>
      </c>
      <c r="AV25">
        <v>136</v>
      </c>
      <c r="AW25">
        <v>446</v>
      </c>
      <c r="AY25" s="1" t="str">
        <f t="shared" si="9"/>
        <v/>
      </c>
      <c r="AZ25" s="1" t="str">
        <f t="shared" si="10"/>
        <v/>
      </c>
      <c r="BA25" s="1" t="str">
        <f t="shared" si="11"/>
        <v/>
      </c>
      <c r="BB25" s="1">
        <f t="shared" si="12"/>
        <v>3.8314176245210733E-5</v>
      </c>
      <c r="BC25" s="1">
        <f t="shared" si="13"/>
        <v>2.4586689275116574E-2</v>
      </c>
      <c r="BD25" s="1" t="str">
        <f t="shared" si="14"/>
        <v/>
      </c>
      <c r="BE25" s="1" t="str">
        <f t="shared" si="15"/>
        <v/>
      </c>
      <c r="BF25" s="1">
        <f t="shared" si="16"/>
        <v>0.12962962962962962</v>
      </c>
      <c r="BG25" s="1" t="str">
        <f t="shared" si="17"/>
        <v/>
      </c>
      <c r="BH25" s="1" t="str">
        <f t="shared" si="18"/>
        <v/>
      </c>
      <c r="BI25" s="1">
        <f t="shared" si="19"/>
        <v>6.530977409975397E-2</v>
      </c>
      <c r="BJ25" s="1">
        <f t="shared" si="20"/>
        <v>1.5739644970414202</v>
      </c>
      <c r="BK25" s="1" t="str">
        <f t="shared" si="21"/>
        <v/>
      </c>
      <c r="BL25" s="1">
        <f t="shared" si="22"/>
        <v>8.597588209021885E-2</v>
      </c>
      <c r="BM25" s="1" t="str">
        <f t="shared" si="23"/>
        <v/>
      </c>
      <c r="BN25" s="1" t="str">
        <f t="shared" si="24"/>
        <v/>
      </c>
      <c r="BO25" s="1" t="str">
        <f t="shared" si="25"/>
        <v/>
      </c>
      <c r="BP25" s="1" t="str">
        <f t="shared" si="26"/>
        <v/>
      </c>
      <c r="BQ25" s="1" t="str">
        <f t="shared" si="27"/>
        <v/>
      </c>
      <c r="BR25" s="1" t="str">
        <f t="shared" si="28"/>
        <v/>
      </c>
      <c r="BS25" s="1" t="str">
        <f t="shared" si="29"/>
        <v/>
      </c>
      <c r="BT25" s="1" t="str">
        <f t="shared" si="30"/>
        <v/>
      </c>
      <c r="BU25" s="1" t="str">
        <f t="shared" si="31"/>
        <v/>
      </c>
      <c r="BV25" s="1">
        <f t="shared" si="32"/>
        <v>0.14987714987714987</v>
      </c>
      <c r="BW25" s="1" t="str">
        <f t="shared" si="33"/>
        <v/>
      </c>
      <c r="BX25" s="1" t="str">
        <f t="shared" si="34"/>
        <v/>
      </c>
      <c r="BY25" s="1">
        <f t="shared" si="35"/>
        <v>0.10743801652892562</v>
      </c>
      <c r="BZ25" s="1">
        <f t="shared" si="36"/>
        <v>0.6256335625031364</v>
      </c>
      <c r="CA25" s="1" t="str">
        <f t="shared" si="37"/>
        <v/>
      </c>
      <c r="CB25" s="1">
        <f t="shared" si="38"/>
        <v>0.68644067796610164</v>
      </c>
      <c r="CC25" s="1">
        <f t="shared" si="39"/>
        <v>2.5762711864406778</v>
      </c>
      <c r="CD25" s="1" t="str">
        <f t="shared" si="40"/>
        <v/>
      </c>
      <c r="CE25" s="1">
        <f t="shared" si="41"/>
        <v>0.79541108986615683</v>
      </c>
      <c r="CF25" s="1" t="str">
        <f t="shared" si="42"/>
        <v/>
      </c>
      <c r="CG25" s="1" t="str">
        <f t="shared" si="43"/>
        <v/>
      </c>
      <c r="CH25" s="1" t="str">
        <f t="shared" si="44"/>
        <v/>
      </c>
      <c r="CI25" s="1" t="str">
        <f t="shared" si="45"/>
        <v/>
      </c>
      <c r="CJ25" s="1" t="str">
        <f t="shared" si="46"/>
        <v/>
      </c>
      <c r="CK25" s="1" t="str">
        <f t="shared" si="47"/>
        <v/>
      </c>
      <c r="CL25" s="1">
        <f t="shared" si="48"/>
        <v>0.55852842809364545</v>
      </c>
      <c r="CM25" s="1">
        <f t="shared" si="49"/>
        <v>0.53333333333333333</v>
      </c>
      <c r="CN25" s="1">
        <f t="shared" si="50"/>
        <v>0.1111111111111111</v>
      </c>
      <c r="CO25" s="1">
        <f t="shared" si="51"/>
        <v>3.2304379038047379E-2</v>
      </c>
      <c r="CP25" s="1" t="str">
        <f t="shared" si="52"/>
        <v/>
      </c>
      <c r="CQ25" s="1">
        <f t="shared" si="53"/>
        <v>0.28668941979522183</v>
      </c>
      <c r="CR25" s="1">
        <f t="shared" si="54"/>
        <v>1.1610486891385767</v>
      </c>
      <c r="CS25" s="1">
        <f t="shared" si="55"/>
        <v>0.25468164794007492</v>
      </c>
      <c r="CT25" s="1">
        <f t="shared" si="56"/>
        <v>0.82136279926335176</v>
      </c>
    </row>
    <row r="26" spans="1:98" x14ac:dyDescent="0.3">
      <c r="A26">
        <v>2006</v>
      </c>
      <c r="N26">
        <v>2506</v>
      </c>
      <c r="V26">
        <v>3071</v>
      </c>
      <c r="W26" s="2">
        <v>1925</v>
      </c>
      <c r="AB26" s="2">
        <v>54</v>
      </c>
      <c r="AC26">
        <v>12428</v>
      </c>
      <c r="AD26">
        <v>1</v>
      </c>
      <c r="AE26">
        <v>472</v>
      </c>
      <c r="AF26">
        <v>482</v>
      </c>
      <c r="AG26">
        <v>104</v>
      </c>
      <c r="AH26">
        <v>695</v>
      </c>
      <c r="AI26">
        <v>71</v>
      </c>
      <c r="AJ26">
        <v>857</v>
      </c>
      <c r="AK26">
        <v>630</v>
      </c>
      <c r="AN26">
        <v>311</v>
      </c>
      <c r="AO26">
        <v>125</v>
      </c>
      <c r="AS26" s="2">
        <v>420</v>
      </c>
      <c r="AU26">
        <v>294</v>
      </c>
      <c r="AV26">
        <v>141</v>
      </c>
      <c r="AW26">
        <v>472</v>
      </c>
      <c r="AY26" s="1" t="str">
        <f t="shared" si="9"/>
        <v/>
      </c>
      <c r="AZ26" s="1" t="str">
        <f t="shared" si="10"/>
        <v/>
      </c>
      <c r="BA26" s="1" t="str">
        <f t="shared" si="11"/>
        <v/>
      </c>
      <c r="BB26" s="1" t="str">
        <f t="shared" si="12"/>
        <v/>
      </c>
      <c r="BC26" s="1" t="str">
        <f t="shared" si="13"/>
        <v/>
      </c>
      <c r="BD26" s="1" t="str">
        <f t="shared" si="14"/>
        <v/>
      </c>
      <c r="BE26" s="1" t="str">
        <f t="shared" si="15"/>
        <v/>
      </c>
      <c r="BF26" s="1" t="str">
        <f t="shared" si="16"/>
        <v/>
      </c>
      <c r="BG26" s="1" t="str">
        <f t="shared" si="17"/>
        <v/>
      </c>
      <c r="BH26" s="1" t="str">
        <f t="shared" si="18"/>
        <v/>
      </c>
      <c r="BI26" s="1" t="str">
        <f t="shared" si="19"/>
        <v/>
      </c>
      <c r="BJ26" s="1" t="str">
        <f t="shared" si="20"/>
        <v/>
      </c>
      <c r="BK26" s="1">
        <f t="shared" si="21"/>
        <v>0.11233134609350487</v>
      </c>
      <c r="BL26" s="1" t="str">
        <f t="shared" si="22"/>
        <v/>
      </c>
      <c r="BM26" s="1" t="str">
        <f t="shared" si="23"/>
        <v/>
      </c>
      <c r="BN26" s="1" t="str">
        <f t="shared" si="24"/>
        <v/>
      </c>
      <c r="BO26" s="1" t="str">
        <f t="shared" si="25"/>
        <v/>
      </c>
      <c r="BP26" s="1" t="str">
        <f t="shared" si="26"/>
        <v/>
      </c>
      <c r="BQ26" s="1" t="str">
        <f t="shared" si="27"/>
        <v/>
      </c>
      <c r="BR26" s="1" t="str">
        <f t="shared" si="28"/>
        <v/>
      </c>
      <c r="BS26" s="1">
        <f t="shared" si="29"/>
        <v>1.6078534031413612</v>
      </c>
      <c r="BT26" s="1">
        <f t="shared" si="30"/>
        <v>1.3681592039800996</v>
      </c>
      <c r="BU26" s="1" t="str">
        <f t="shared" si="31"/>
        <v/>
      </c>
      <c r="BV26" s="1" t="str">
        <f t="shared" si="32"/>
        <v/>
      </c>
      <c r="BW26" s="1" t="str">
        <f t="shared" si="33"/>
        <v/>
      </c>
      <c r="BX26" s="1" t="str">
        <f t="shared" si="34"/>
        <v/>
      </c>
      <c r="BY26" s="1">
        <f t="shared" si="35"/>
        <v>0.1487603305785124</v>
      </c>
      <c r="BZ26" s="1">
        <f t="shared" si="36"/>
        <v>0.6236764189290912</v>
      </c>
      <c r="CA26" s="1">
        <f t="shared" si="37"/>
        <v>4.0160642570281121E-3</v>
      </c>
      <c r="CB26" s="1">
        <f t="shared" si="38"/>
        <v>0.8</v>
      </c>
      <c r="CC26" s="1">
        <f t="shared" si="39"/>
        <v>4.0847457627118642</v>
      </c>
      <c r="CD26" s="1">
        <f t="shared" si="40"/>
        <v>0.71724137931034482</v>
      </c>
      <c r="CE26" s="1">
        <f t="shared" si="41"/>
        <v>1.3288718929254302</v>
      </c>
      <c r="CF26" s="1">
        <f t="shared" si="42"/>
        <v>0.41040462427745666</v>
      </c>
      <c r="CG26" s="1">
        <f t="shared" si="43"/>
        <v>1.4379194630872483</v>
      </c>
      <c r="CH26" s="1">
        <f t="shared" si="44"/>
        <v>6.3E-2</v>
      </c>
      <c r="CI26" s="1" t="str">
        <f t="shared" si="45"/>
        <v/>
      </c>
      <c r="CJ26" s="1" t="str">
        <f t="shared" si="46"/>
        <v/>
      </c>
      <c r="CK26" s="1">
        <f t="shared" si="47"/>
        <v>0.29903846153846153</v>
      </c>
      <c r="CL26" s="1">
        <f t="shared" si="48"/>
        <v>0.41806020066889632</v>
      </c>
      <c r="CM26" s="1" t="str">
        <f t="shared" si="49"/>
        <v/>
      </c>
      <c r="CN26" s="1" t="str">
        <f t="shared" si="50"/>
        <v/>
      </c>
      <c r="CO26" s="1" t="str">
        <f t="shared" si="51"/>
        <v/>
      </c>
      <c r="CP26" s="1">
        <f t="shared" si="52"/>
        <v>0.47781569965870307</v>
      </c>
      <c r="CQ26" s="1" t="str">
        <f t="shared" si="53"/>
        <v/>
      </c>
      <c r="CR26" s="1">
        <f t="shared" si="54"/>
        <v>1.101123595505618</v>
      </c>
      <c r="CS26" s="1">
        <f t="shared" si="55"/>
        <v>0.2640449438202247</v>
      </c>
      <c r="CT26" s="1">
        <f t="shared" si="56"/>
        <v>0.86924493554327809</v>
      </c>
    </row>
    <row r="27" spans="1:98" x14ac:dyDescent="0.3">
      <c r="A27">
        <v>2007</v>
      </c>
      <c r="B27">
        <v>3487</v>
      </c>
      <c r="M27" s="2">
        <v>1935</v>
      </c>
      <c r="T27" s="2">
        <v>1829</v>
      </c>
      <c r="U27">
        <v>34322</v>
      </c>
      <c r="X27" s="2">
        <v>619</v>
      </c>
      <c r="Y27" s="2">
        <v>68</v>
      </c>
      <c r="Z27" s="2">
        <v>98</v>
      </c>
      <c r="AA27">
        <v>6516</v>
      </c>
      <c r="AB27" s="2">
        <v>164</v>
      </c>
      <c r="AC27">
        <v>13213</v>
      </c>
      <c r="AE27">
        <v>621</v>
      </c>
      <c r="AF27">
        <v>401</v>
      </c>
      <c r="AG27">
        <v>64</v>
      </c>
      <c r="AH27">
        <v>569</v>
      </c>
      <c r="AI27">
        <v>104</v>
      </c>
      <c r="AJ27">
        <v>1389</v>
      </c>
      <c r="AO27">
        <v>155</v>
      </c>
      <c r="AS27" s="2">
        <v>430</v>
      </c>
      <c r="AU27">
        <v>316</v>
      </c>
      <c r="AV27">
        <v>120</v>
      </c>
      <c r="AW27">
        <v>428</v>
      </c>
      <c r="AY27" s="1">
        <f t="shared" si="9"/>
        <v>0.74002546689303905</v>
      </c>
      <c r="AZ27" s="1" t="str">
        <f t="shared" si="10"/>
        <v/>
      </c>
      <c r="BA27" s="1" t="str">
        <f t="shared" si="11"/>
        <v/>
      </c>
      <c r="BB27" s="1" t="str">
        <f t="shared" si="12"/>
        <v/>
      </c>
      <c r="BC27" s="1" t="str">
        <f t="shared" si="13"/>
        <v/>
      </c>
      <c r="BD27" s="1" t="str">
        <f t="shared" si="14"/>
        <v/>
      </c>
      <c r="BE27" s="1" t="str">
        <f t="shared" si="15"/>
        <v/>
      </c>
      <c r="BF27" s="1" t="str">
        <f t="shared" si="16"/>
        <v/>
      </c>
      <c r="BG27" s="1" t="str">
        <f t="shared" si="17"/>
        <v/>
      </c>
      <c r="BH27" s="1" t="str">
        <f t="shared" si="18"/>
        <v/>
      </c>
      <c r="BI27" s="1" t="str">
        <f t="shared" si="19"/>
        <v/>
      </c>
      <c r="BJ27" s="1">
        <f t="shared" si="20"/>
        <v>5.724852071005917</v>
      </c>
      <c r="BK27" s="1" t="str">
        <f t="shared" si="21"/>
        <v/>
      </c>
      <c r="BL27" s="1" t="str">
        <f t="shared" si="22"/>
        <v/>
      </c>
      <c r="BM27" s="1" t="str">
        <f t="shared" si="23"/>
        <v/>
      </c>
      <c r="BN27" s="1" t="str">
        <f t="shared" si="24"/>
        <v/>
      </c>
      <c r="BO27" s="1" t="str">
        <f t="shared" si="25"/>
        <v/>
      </c>
      <c r="BP27" s="1" t="str">
        <f t="shared" si="26"/>
        <v/>
      </c>
      <c r="BQ27" s="1">
        <f t="shared" si="27"/>
        <v>0.37227763077549358</v>
      </c>
      <c r="BR27" s="1">
        <f t="shared" si="28"/>
        <v>2.3426387277318956</v>
      </c>
      <c r="BS27" s="1" t="str">
        <f t="shared" si="29"/>
        <v/>
      </c>
      <c r="BT27" s="1" t="str">
        <f t="shared" si="30"/>
        <v/>
      </c>
      <c r="BU27" s="1">
        <f t="shared" si="31"/>
        <v>0.79358974358974355</v>
      </c>
      <c r="BV27" s="1">
        <f t="shared" si="32"/>
        <v>0.16707616707616707</v>
      </c>
      <c r="BW27" s="1">
        <f t="shared" si="33"/>
        <v>0.64473684210526316</v>
      </c>
      <c r="BX27" s="1">
        <f t="shared" si="34"/>
        <v>1.2895309716999801</v>
      </c>
      <c r="BY27" s="1">
        <f t="shared" si="35"/>
        <v>0.45179063360881544</v>
      </c>
      <c r="BZ27" s="1">
        <f t="shared" si="36"/>
        <v>0.66307020625282276</v>
      </c>
      <c r="CA27" s="1" t="str">
        <f t="shared" si="37"/>
        <v/>
      </c>
      <c r="CB27" s="1">
        <f t="shared" si="38"/>
        <v>1.0525423728813559</v>
      </c>
      <c r="CC27" s="1">
        <f t="shared" si="39"/>
        <v>3.3983050847457625</v>
      </c>
      <c r="CD27" s="1">
        <f t="shared" si="40"/>
        <v>0.44137931034482758</v>
      </c>
      <c r="CE27" s="1">
        <f t="shared" si="41"/>
        <v>1.0879541108986617</v>
      </c>
      <c r="CF27" s="1">
        <f t="shared" si="42"/>
        <v>0.60115606936416188</v>
      </c>
      <c r="CG27" s="1">
        <f t="shared" si="43"/>
        <v>2.3305369127516777</v>
      </c>
      <c r="CH27" s="1" t="str">
        <f t="shared" si="44"/>
        <v/>
      </c>
      <c r="CI27" s="1" t="str">
        <f t="shared" si="45"/>
        <v/>
      </c>
      <c r="CJ27" s="1" t="str">
        <f t="shared" si="46"/>
        <v/>
      </c>
      <c r="CK27" s="1" t="str">
        <f t="shared" si="47"/>
        <v/>
      </c>
      <c r="CL27" s="1">
        <f t="shared" si="48"/>
        <v>0.51839464882943143</v>
      </c>
      <c r="CM27" s="1" t="str">
        <f t="shared" si="49"/>
        <v/>
      </c>
      <c r="CN27" s="1" t="str">
        <f t="shared" si="50"/>
        <v/>
      </c>
      <c r="CO27" s="1" t="str">
        <f t="shared" si="51"/>
        <v/>
      </c>
      <c r="CP27" s="1">
        <f t="shared" si="52"/>
        <v>0.48919226393629123</v>
      </c>
      <c r="CQ27" s="1" t="str">
        <f t="shared" si="53"/>
        <v/>
      </c>
      <c r="CR27" s="1">
        <f t="shared" si="54"/>
        <v>1.1835205992509363</v>
      </c>
      <c r="CS27" s="1">
        <f t="shared" si="55"/>
        <v>0.2247191011235955</v>
      </c>
      <c r="CT27" s="1">
        <f t="shared" si="56"/>
        <v>0.7882136279926335</v>
      </c>
    </row>
    <row r="28" spans="1:98" x14ac:dyDescent="0.3">
      <c r="A28">
        <v>2008</v>
      </c>
      <c r="N28">
        <v>2521</v>
      </c>
      <c r="O28" s="2">
        <v>2389</v>
      </c>
      <c r="X28" s="2">
        <v>477</v>
      </c>
      <c r="Z28" s="2">
        <v>82</v>
      </c>
      <c r="AB28" s="2">
        <v>83</v>
      </c>
      <c r="AC28">
        <v>13312</v>
      </c>
      <c r="AE28">
        <v>809</v>
      </c>
      <c r="AF28">
        <v>141</v>
      </c>
      <c r="AG28">
        <v>166</v>
      </c>
      <c r="AH28">
        <v>619</v>
      </c>
      <c r="AI28">
        <v>193</v>
      </c>
      <c r="AJ28">
        <v>971</v>
      </c>
      <c r="AN28">
        <v>348</v>
      </c>
      <c r="AS28" s="2">
        <v>500</v>
      </c>
      <c r="AV28">
        <v>142</v>
      </c>
      <c r="AW28">
        <v>651</v>
      </c>
      <c r="AY28" s="1" t="str">
        <f t="shared" si="9"/>
        <v/>
      </c>
      <c r="AZ28" s="1" t="str">
        <f t="shared" si="10"/>
        <v/>
      </c>
      <c r="BA28" s="1" t="str">
        <f t="shared" si="11"/>
        <v/>
      </c>
      <c r="BB28" s="1" t="str">
        <f t="shared" si="12"/>
        <v/>
      </c>
      <c r="BC28" s="1" t="str">
        <f t="shared" si="13"/>
        <v/>
      </c>
      <c r="BD28" s="1" t="str">
        <f t="shared" si="14"/>
        <v/>
      </c>
      <c r="BE28" s="1" t="str">
        <f t="shared" si="15"/>
        <v/>
      </c>
      <c r="BF28" s="1" t="str">
        <f t="shared" si="16"/>
        <v/>
      </c>
      <c r="BG28" s="1" t="str">
        <f t="shared" si="17"/>
        <v/>
      </c>
      <c r="BH28" s="1" t="str">
        <f t="shared" si="18"/>
        <v/>
      </c>
      <c r="BI28" s="1" t="str">
        <f t="shared" si="19"/>
        <v/>
      </c>
      <c r="BJ28" s="1" t="str">
        <f t="shared" si="20"/>
        <v/>
      </c>
      <c r="BK28" s="1">
        <f t="shared" si="21"/>
        <v>0.11300372047155856</v>
      </c>
      <c r="BL28" s="1">
        <f t="shared" si="22"/>
        <v>0.53349709691826708</v>
      </c>
      <c r="BM28" s="1" t="str">
        <f t="shared" si="23"/>
        <v/>
      </c>
      <c r="BN28" s="1" t="str">
        <f t="shared" si="24"/>
        <v/>
      </c>
      <c r="BO28" s="1" t="str">
        <f t="shared" si="25"/>
        <v/>
      </c>
      <c r="BP28" s="1" t="str">
        <f t="shared" si="26"/>
        <v/>
      </c>
      <c r="BQ28" s="1" t="str">
        <f t="shared" si="27"/>
        <v/>
      </c>
      <c r="BR28" s="1" t="str">
        <f t="shared" si="28"/>
        <v/>
      </c>
      <c r="BS28" s="1" t="str">
        <f t="shared" si="29"/>
        <v/>
      </c>
      <c r="BT28" s="1" t="str">
        <f t="shared" si="30"/>
        <v/>
      </c>
      <c r="BU28" s="1">
        <f t="shared" si="31"/>
        <v>0.61153846153846159</v>
      </c>
      <c r="BV28" s="1" t="str">
        <f t="shared" si="32"/>
        <v/>
      </c>
      <c r="BW28" s="1">
        <f t="shared" si="33"/>
        <v>0.53947368421052633</v>
      </c>
      <c r="BX28" s="1" t="str">
        <f t="shared" si="34"/>
        <v/>
      </c>
      <c r="BY28" s="1">
        <f t="shared" si="35"/>
        <v>0.22865013774104684</v>
      </c>
      <c r="BZ28" s="1">
        <f t="shared" si="36"/>
        <v>0.66803833994078388</v>
      </c>
      <c r="CA28" s="1" t="str">
        <f t="shared" si="37"/>
        <v/>
      </c>
      <c r="CB28" s="1">
        <f t="shared" si="38"/>
        <v>1.3711864406779661</v>
      </c>
      <c r="CC28" s="1">
        <f t="shared" si="39"/>
        <v>1.1949152542372881</v>
      </c>
      <c r="CD28" s="1">
        <f t="shared" si="40"/>
        <v>1.1448275862068966</v>
      </c>
      <c r="CE28" s="1">
        <f t="shared" si="41"/>
        <v>1.1835564053537284</v>
      </c>
      <c r="CF28" s="1">
        <f t="shared" si="42"/>
        <v>1.1156069364161849</v>
      </c>
      <c r="CG28" s="1">
        <f t="shared" si="43"/>
        <v>1.6291946308724832</v>
      </c>
      <c r="CH28" s="1" t="str">
        <f t="shared" si="44"/>
        <v/>
      </c>
      <c r="CI28" s="1" t="str">
        <f t="shared" si="45"/>
        <v/>
      </c>
      <c r="CJ28" s="1" t="str">
        <f t="shared" si="46"/>
        <v/>
      </c>
      <c r="CK28" s="1">
        <f t="shared" si="47"/>
        <v>0.33461538461538459</v>
      </c>
      <c r="CL28" s="1" t="str">
        <f t="shared" si="48"/>
        <v/>
      </c>
      <c r="CM28" s="1" t="str">
        <f t="shared" si="49"/>
        <v/>
      </c>
      <c r="CN28" s="1" t="str">
        <f t="shared" si="50"/>
        <v/>
      </c>
      <c r="CO28" s="1" t="str">
        <f t="shared" si="51"/>
        <v/>
      </c>
      <c r="CP28" s="1">
        <f t="shared" si="52"/>
        <v>0.56882821387940841</v>
      </c>
      <c r="CQ28" s="1" t="str">
        <f t="shared" si="53"/>
        <v/>
      </c>
      <c r="CR28" s="1" t="str">
        <f t="shared" si="54"/>
        <v/>
      </c>
      <c r="CS28" s="1">
        <f t="shared" si="55"/>
        <v>0.26591760299625467</v>
      </c>
      <c r="CT28" s="1">
        <f t="shared" si="56"/>
        <v>1.1988950276243093</v>
      </c>
    </row>
    <row r="29" spans="1:98" x14ac:dyDescent="0.3">
      <c r="A29">
        <v>2009</v>
      </c>
      <c r="B29">
        <v>3749</v>
      </c>
      <c r="C29">
        <v>4419</v>
      </c>
      <c r="D29" s="2">
        <v>148</v>
      </c>
      <c r="M29" s="2">
        <v>1227</v>
      </c>
      <c r="Y29" s="2">
        <v>97</v>
      </c>
      <c r="AA29">
        <v>9123</v>
      </c>
      <c r="AB29" s="2">
        <v>139</v>
      </c>
      <c r="AC29">
        <v>13700</v>
      </c>
      <c r="AE29">
        <v>549</v>
      </c>
      <c r="AF29">
        <v>242</v>
      </c>
      <c r="AG29">
        <v>211</v>
      </c>
      <c r="AH29">
        <v>338</v>
      </c>
      <c r="AI29">
        <v>222</v>
      </c>
      <c r="AJ29">
        <v>849</v>
      </c>
      <c r="AO29">
        <v>125</v>
      </c>
      <c r="AS29" s="2">
        <v>500</v>
      </c>
      <c r="AV29">
        <v>146</v>
      </c>
      <c r="AW29">
        <v>637</v>
      </c>
      <c r="AY29" s="1">
        <f t="shared" si="9"/>
        <v>0.79562818336162988</v>
      </c>
      <c r="AZ29" s="1">
        <f t="shared" si="10"/>
        <v>0.50769761029411764</v>
      </c>
      <c r="BA29" s="1">
        <f t="shared" si="11"/>
        <v>0.4099722991689751</v>
      </c>
      <c r="BB29" s="1" t="str">
        <f t="shared" si="12"/>
        <v/>
      </c>
      <c r="BC29" s="1" t="str">
        <f t="shared" si="13"/>
        <v/>
      </c>
      <c r="BD29" s="1" t="str">
        <f t="shared" si="14"/>
        <v/>
      </c>
      <c r="BE29" s="1" t="str">
        <f t="shared" si="15"/>
        <v/>
      </c>
      <c r="BF29" s="1" t="str">
        <f t="shared" si="16"/>
        <v/>
      </c>
      <c r="BG29" s="1" t="str">
        <f t="shared" si="17"/>
        <v/>
      </c>
      <c r="BH29" s="1" t="str">
        <f t="shared" si="18"/>
        <v/>
      </c>
      <c r="BI29" s="1" t="str">
        <f t="shared" si="19"/>
        <v/>
      </c>
      <c r="BJ29" s="1">
        <f t="shared" si="20"/>
        <v>3.6301775147928996</v>
      </c>
      <c r="BK29" s="1" t="str">
        <f t="shared" si="21"/>
        <v/>
      </c>
      <c r="BL29" s="1" t="str">
        <f t="shared" si="22"/>
        <v/>
      </c>
      <c r="BM29" s="1" t="str">
        <f t="shared" si="23"/>
        <v/>
      </c>
      <c r="BN29" s="1" t="str">
        <f t="shared" si="24"/>
        <v/>
      </c>
      <c r="BO29" s="1" t="str">
        <f t="shared" si="25"/>
        <v/>
      </c>
      <c r="BP29" s="1" t="str">
        <f t="shared" si="26"/>
        <v/>
      </c>
      <c r="BQ29" s="1" t="str">
        <f t="shared" si="27"/>
        <v/>
      </c>
      <c r="BR29" s="1" t="str">
        <f t="shared" si="28"/>
        <v/>
      </c>
      <c r="BS29" s="1" t="str">
        <f t="shared" si="29"/>
        <v/>
      </c>
      <c r="BT29" s="1" t="str">
        <f t="shared" si="30"/>
        <v/>
      </c>
      <c r="BU29" s="1" t="str">
        <f t="shared" si="31"/>
        <v/>
      </c>
      <c r="BV29" s="1">
        <f t="shared" si="32"/>
        <v>0.23832923832923833</v>
      </c>
      <c r="BW29" s="1" t="str">
        <f t="shared" si="33"/>
        <v/>
      </c>
      <c r="BX29" s="1">
        <f t="shared" si="34"/>
        <v>1.8054621017217494</v>
      </c>
      <c r="BY29" s="1">
        <f t="shared" si="35"/>
        <v>0.38292011019283745</v>
      </c>
      <c r="BZ29" s="1">
        <f t="shared" si="36"/>
        <v>0.68750940934410598</v>
      </c>
      <c r="CA29" s="1" t="str">
        <f t="shared" si="37"/>
        <v/>
      </c>
      <c r="CB29" s="1">
        <f t="shared" si="38"/>
        <v>0.93050847457627117</v>
      </c>
      <c r="CC29" s="1">
        <f t="shared" si="39"/>
        <v>2.0508474576271185</v>
      </c>
      <c r="CD29" s="1">
        <f t="shared" si="40"/>
        <v>1.4551724137931035</v>
      </c>
      <c r="CE29" s="1">
        <f t="shared" si="41"/>
        <v>0.64627151051625242</v>
      </c>
      <c r="CF29" s="1">
        <f t="shared" si="42"/>
        <v>1.2832369942196531</v>
      </c>
      <c r="CG29" s="1">
        <f t="shared" si="43"/>
        <v>1.424496644295302</v>
      </c>
      <c r="CH29" s="1" t="str">
        <f t="shared" si="44"/>
        <v/>
      </c>
      <c r="CI29" s="1" t="str">
        <f t="shared" si="45"/>
        <v/>
      </c>
      <c r="CJ29" s="1" t="str">
        <f t="shared" si="46"/>
        <v/>
      </c>
      <c r="CK29" s="1" t="str">
        <f t="shared" si="47"/>
        <v/>
      </c>
      <c r="CL29" s="1">
        <f t="shared" si="48"/>
        <v>0.41806020066889632</v>
      </c>
      <c r="CM29" s="1" t="str">
        <f t="shared" si="49"/>
        <v/>
      </c>
      <c r="CN29" s="1" t="str">
        <f t="shared" si="50"/>
        <v/>
      </c>
      <c r="CO29" s="1" t="str">
        <f t="shared" si="51"/>
        <v/>
      </c>
      <c r="CP29" s="1">
        <f t="shared" si="52"/>
        <v>0.56882821387940841</v>
      </c>
      <c r="CQ29" s="1" t="str">
        <f t="shared" si="53"/>
        <v/>
      </c>
      <c r="CR29" s="1" t="str">
        <f t="shared" si="54"/>
        <v/>
      </c>
      <c r="CS29" s="1">
        <f t="shared" si="55"/>
        <v>0.27340823970037453</v>
      </c>
      <c r="CT29" s="1">
        <f t="shared" si="56"/>
        <v>1.1731123388581952</v>
      </c>
    </row>
    <row r="30" spans="1:98" x14ac:dyDescent="0.3">
      <c r="A30">
        <v>2010</v>
      </c>
      <c r="P30">
        <v>8947</v>
      </c>
      <c r="Q30">
        <v>29539</v>
      </c>
      <c r="R30" s="2">
        <v>1141</v>
      </c>
      <c r="S30" s="2">
        <v>740</v>
      </c>
      <c r="X30" s="2">
        <v>463</v>
      </c>
      <c r="Z30" s="2">
        <v>280</v>
      </c>
      <c r="AB30" s="2">
        <v>73</v>
      </c>
      <c r="AC30" s="3">
        <v>13750</v>
      </c>
      <c r="AD30" s="3"/>
      <c r="AE30">
        <v>659</v>
      </c>
      <c r="AF30">
        <v>221</v>
      </c>
      <c r="AG30">
        <v>115</v>
      </c>
      <c r="AH30">
        <v>259</v>
      </c>
      <c r="AI30" s="3"/>
      <c r="AJ30">
        <v>1260</v>
      </c>
      <c r="AK30">
        <v>1425</v>
      </c>
      <c r="AO30">
        <v>158</v>
      </c>
      <c r="AS30" s="2">
        <v>550</v>
      </c>
      <c r="AV30">
        <v>208</v>
      </c>
      <c r="AW30">
        <v>650</v>
      </c>
      <c r="AY30" s="1" t="str">
        <f t="shared" si="9"/>
        <v/>
      </c>
      <c r="AZ30" s="1" t="str">
        <f t="shared" si="10"/>
        <v/>
      </c>
      <c r="BA30" s="1" t="str">
        <f t="shared" si="11"/>
        <v/>
      </c>
      <c r="BB30" s="1" t="str">
        <f t="shared" si="12"/>
        <v/>
      </c>
      <c r="BC30" s="1" t="str">
        <f t="shared" si="13"/>
        <v/>
      </c>
      <c r="BD30" s="1" t="str">
        <f t="shared" si="14"/>
        <v/>
      </c>
      <c r="BE30" s="1" t="str">
        <f t="shared" si="15"/>
        <v/>
      </c>
      <c r="BF30" s="1" t="str">
        <f t="shared" si="16"/>
        <v/>
      </c>
      <c r="BG30" s="1" t="str">
        <f t="shared" si="17"/>
        <v/>
      </c>
      <c r="BH30" s="1" t="str">
        <f t="shared" si="18"/>
        <v/>
      </c>
      <c r="BI30" s="1" t="str">
        <f t="shared" si="19"/>
        <v/>
      </c>
      <c r="BJ30" s="1" t="str">
        <f t="shared" si="20"/>
        <v/>
      </c>
      <c r="BK30" s="1" t="str">
        <f t="shared" si="21"/>
        <v/>
      </c>
      <c r="BL30" s="1" t="str">
        <f t="shared" si="22"/>
        <v/>
      </c>
      <c r="BM30" s="1">
        <f t="shared" si="23"/>
        <v>1.8296523517382413</v>
      </c>
      <c r="BN30" s="1">
        <f t="shared" si="24"/>
        <v>2.6853636363636362</v>
      </c>
      <c r="BO30" s="1">
        <f t="shared" si="25"/>
        <v>0.44293478260869568</v>
      </c>
      <c r="BP30" s="1">
        <f t="shared" si="26"/>
        <v>0.15095879232966136</v>
      </c>
      <c r="BQ30" s="1" t="str">
        <f t="shared" si="27"/>
        <v/>
      </c>
      <c r="BR30" s="1" t="str">
        <f t="shared" si="28"/>
        <v/>
      </c>
      <c r="BS30" s="1" t="str">
        <f t="shared" si="29"/>
        <v/>
      </c>
      <c r="BT30" s="1" t="str">
        <f t="shared" si="30"/>
        <v/>
      </c>
      <c r="BU30" s="1">
        <f t="shared" si="31"/>
        <v>0.59358974358974359</v>
      </c>
      <c r="BV30" s="1" t="str">
        <f t="shared" si="32"/>
        <v/>
      </c>
      <c r="BW30" s="1">
        <f t="shared" si="33"/>
        <v>1.8421052631578947</v>
      </c>
      <c r="BX30" s="1" t="str">
        <f t="shared" si="34"/>
        <v/>
      </c>
      <c r="BY30" s="1">
        <f t="shared" si="35"/>
        <v>0.20110192837465565</v>
      </c>
      <c r="BZ30" s="1">
        <f t="shared" si="36"/>
        <v>0.69001856777236914</v>
      </c>
      <c r="CA30" s="1" t="str">
        <f t="shared" si="37"/>
        <v/>
      </c>
      <c r="CB30" s="1">
        <f t="shared" si="38"/>
        <v>1.1169491525423729</v>
      </c>
      <c r="CC30" s="1">
        <f t="shared" si="39"/>
        <v>1.8728813559322033</v>
      </c>
      <c r="CD30" s="1">
        <f t="shared" si="40"/>
        <v>0.7931034482758621</v>
      </c>
      <c r="CE30" s="1">
        <f t="shared" si="41"/>
        <v>0.49521988527724664</v>
      </c>
      <c r="CF30" s="1" t="str">
        <f t="shared" si="42"/>
        <v/>
      </c>
      <c r="CG30" s="1">
        <f t="shared" si="43"/>
        <v>2.1140939597315436</v>
      </c>
      <c r="CH30" s="1">
        <f t="shared" si="44"/>
        <v>0.14249999999999999</v>
      </c>
      <c r="CI30" s="1" t="str">
        <f t="shared" si="45"/>
        <v/>
      </c>
      <c r="CJ30" s="1" t="str">
        <f t="shared" si="46"/>
        <v/>
      </c>
      <c r="CK30" s="1" t="str">
        <f t="shared" si="47"/>
        <v/>
      </c>
      <c r="CL30" s="1">
        <f t="shared" si="48"/>
        <v>0.52842809364548493</v>
      </c>
      <c r="CM30" s="1" t="str">
        <f t="shared" si="49"/>
        <v/>
      </c>
      <c r="CN30" s="1" t="str">
        <f t="shared" si="50"/>
        <v/>
      </c>
      <c r="CO30" s="1" t="str">
        <f t="shared" si="51"/>
        <v/>
      </c>
      <c r="CP30" s="1">
        <f t="shared" si="52"/>
        <v>0.62571103526734928</v>
      </c>
      <c r="CQ30" s="1" t="str">
        <f t="shared" si="53"/>
        <v/>
      </c>
      <c r="CR30" s="1" t="str">
        <f t="shared" si="54"/>
        <v/>
      </c>
      <c r="CS30" s="1">
        <f t="shared" si="55"/>
        <v>0.38951310861423222</v>
      </c>
      <c r="CT30" s="1">
        <f t="shared" si="56"/>
        <v>1.1970534069981584</v>
      </c>
    </row>
    <row r="31" spans="1:98" x14ac:dyDescent="0.3">
      <c r="A31">
        <v>2011</v>
      </c>
      <c r="B31">
        <v>2414</v>
      </c>
      <c r="N31">
        <v>2280</v>
      </c>
      <c r="Q31">
        <v>22998</v>
      </c>
      <c r="Y31" s="2">
        <v>105</v>
      </c>
      <c r="AC31" s="3">
        <v>14273</v>
      </c>
      <c r="AD31" s="3"/>
      <c r="AE31">
        <v>771</v>
      </c>
      <c r="AF31">
        <v>304</v>
      </c>
      <c r="AG31">
        <v>192</v>
      </c>
      <c r="AH31">
        <v>384</v>
      </c>
      <c r="AI31" s="3"/>
      <c r="AJ31">
        <v>1181</v>
      </c>
      <c r="AN31">
        <v>228</v>
      </c>
      <c r="AO31">
        <v>94</v>
      </c>
      <c r="AP31" s="2">
        <v>79</v>
      </c>
      <c r="AS31" s="2">
        <v>600</v>
      </c>
      <c r="AT31" s="2">
        <v>146</v>
      </c>
      <c r="AU31">
        <v>362</v>
      </c>
      <c r="AV31">
        <v>183</v>
      </c>
      <c r="AW31">
        <v>637</v>
      </c>
      <c r="AY31" s="1">
        <f t="shared" si="9"/>
        <v>0.51230899830220711</v>
      </c>
      <c r="AZ31" s="1" t="str">
        <f t="shared" si="10"/>
        <v/>
      </c>
      <c r="BA31" s="1" t="str">
        <f t="shared" si="11"/>
        <v/>
      </c>
      <c r="BB31" s="1" t="str">
        <f t="shared" si="12"/>
        <v/>
      </c>
      <c r="BC31" s="1" t="str">
        <f t="shared" si="13"/>
        <v/>
      </c>
      <c r="BD31" s="1" t="str">
        <f t="shared" si="14"/>
        <v/>
      </c>
      <c r="BE31" s="1" t="str">
        <f t="shared" si="15"/>
        <v/>
      </c>
      <c r="BF31" s="1" t="str">
        <f t="shared" si="16"/>
        <v/>
      </c>
      <c r="BG31" s="1" t="str">
        <f t="shared" si="17"/>
        <v/>
      </c>
      <c r="BH31" s="1" t="str">
        <f t="shared" si="18"/>
        <v/>
      </c>
      <c r="BI31" s="1" t="str">
        <f t="shared" si="19"/>
        <v/>
      </c>
      <c r="BJ31" s="1" t="str">
        <f t="shared" si="20"/>
        <v/>
      </c>
      <c r="BK31" s="1">
        <f t="shared" si="21"/>
        <v>0.10220090546416244</v>
      </c>
      <c r="BL31" s="1" t="str">
        <f t="shared" si="22"/>
        <v/>
      </c>
      <c r="BM31" s="1" t="str">
        <f t="shared" si="23"/>
        <v/>
      </c>
      <c r="BN31" s="1">
        <f t="shared" si="24"/>
        <v>2.0907272727272725</v>
      </c>
      <c r="BO31" s="1" t="str">
        <f t="shared" si="25"/>
        <v/>
      </c>
      <c r="BP31" s="1" t="str">
        <f t="shared" si="26"/>
        <v/>
      </c>
      <c r="BQ31" s="1" t="str">
        <f t="shared" si="27"/>
        <v/>
      </c>
      <c r="BR31" s="1" t="str">
        <f t="shared" si="28"/>
        <v/>
      </c>
      <c r="BS31" s="1" t="str">
        <f t="shared" si="29"/>
        <v/>
      </c>
      <c r="BT31" s="1" t="str">
        <f t="shared" si="30"/>
        <v/>
      </c>
      <c r="BU31" s="1" t="str">
        <f t="shared" si="31"/>
        <v/>
      </c>
      <c r="BV31" s="1">
        <f t="shared" si="32"/>
        <v>0.25798525798525801</v>
      </c>
      <c r="BW31" s="1" t="str">
        <f t="shared" si="33"/>
        <v/>
      </c>
      <c r="BX31" s="1" t="str">
        <f t="shared" si="34"/>
        <v/>
      </c>
      <c r="BY31" s="1" t="str">
        <f t="shared" si="35"/>
        <v/>
      </c>
      <c r="BZ31" s="1">
        <f t="shared" si="36"/>
        <v>0.71626436493200185</v>
      </c>
      <c r="CA31" s="1" t="str">
        <f t="shared" si="37"/>
        <v/>
      </c>
      <c r="CB31" s="1">
        <f t="shared" si="38"/>
        <v>1.3067796610169491</v>
      </c>
      <c r="CC31" s="1">
        <f t="shared" si="39"/>
        <v>2.5762711864406778</v>
      </c>
      <c r="CD31" s="1">
        <f t="shared" si="40"/>
        <v>1.3241379310344827</v>
      </c>
      <c r="CE31" s="1">
        <f t="shared" si="41"/>
        <v>0.73422562141491399</v>
      </c>
      <c r="CF31" s="1" t="str">
        <f t="shared" si="42"/>
        <v/>
      </c>
      <c r="CG31" s="1">
        <f t="shared" si="43"/>
        <v>1.9815436241610738</v>
      </c>
      <c r="CH31" s="1" t="str">
        <f t="shared" si="44"/>
        <v/>
      </c>
      <c r="CI31" s="1" t="str">
        <f t="shared" si="45"/>
        <v/>
      </c>
      <c r="CJ31" s="1" t="str">
        <f t="shared" si="46"/>
        <v/>
      </c>
      <c r="CK31" s="1">
        <f t="shared" si="47"/>
        <v>0.21923076923076923</v>
      </c>
      <c r="CL31" s="1">
        <f t="shared" si="48"/>
        <v>0.31438127090301005</v>
      </c>
      <c r="CM31" s="1">
        <f t="shared" si="49"/>
        <v>0.87777777777777777</v>
      </c>
      <c r="CN31" s="1" t="str">
        <f t="shared" si="50"/>
        <v/>
      </c>
      <c r="CO31" s="1" t="str">
        <f t="shared" si="51"/>
        <v/>
      </c>
      <c r="CP31" s="1">
        <f t="shared" si="52"/>
        <v>0.68259385665529015</v>
      </c>
      <c r="CQ31" s="1">
        <f t="shared" si="53"/>
        <v>0.49829351535836175</v>
      </c>
      <c r="CR31" s="1">
        <f t="shared" si="54"/>
        <v>1.3558052434456929</v>
      </c>
      <c r="CS31" s="1">
        <f t="shared" si="55"/>
        <v>0.34269662921348315</v>
      </c>
      <c r="CT31" s="1">
        <f t="shared" si="56"/>
        <v>1.1731123388581952</v>
      </c>
    </row>
    <row r="32" spans="1:98" x14ac:dyDescent="0.3">
      <c r="A32">
        <v>2012</v>
      </c>
      <c r="B32">
        <v>2214</v>
      </c>
      <c r="C32">
        <v>2183</v>
      </c>
      <c r="D32" s="2">
        <v>9</v>
      </c>
      <c r="K32">
        <v>2755</v>
      </c>
      <c r="Q32">
        <v>26134</v>
      </c>
      <c r="R32" s="2">
        <v>185</v>
      </c>
      <c r="X32" s="2">
        <v>320</v>
      </c>
      <c r="Z32" s="2">
        <v>127</v>
      </c>
      <c r="AC32" s="3">
        <v>16570</v>
      </c>
      <c r="AD32" s="3"/>
      <c r="AE32">
        <v>867</v>
      </c>
      <c r="AF32">
        <v>243</v>
      </c>
      <c r="AG32">
        <v>73</v>
      </c>
      <c r="AH32">
        <v>483</v>
      </c>
      <c r="AI32" s="3"/>
      <c r="AN32">
        <v>264</v>
      </c>
      <c r="AO32">
        <v>215</v>
      </c>
      <c r="AP32" s="2">
        <v>77</v>
      </c>
      <c r="AS32" s="2">
        <v>650</v>
      </c>
      <c r="AU32">
        <v>367</v>
      </c>
      <c r="AV32">
        <v>199</v>
      </c>
      <c r="AW32">
        <v>912</v>
      </c>
      <c r="AY32" s="1">
        <f t="shared" si="9"/>
        <v>0.46986417657045842</v>
      </c>
      <c r="AZ32" s="1">
        <f t="shared" si="10"/>
        <v>0.25080422794117646</v>
      </c>
      <c r="BA32" s="1">
        <f t="shared" si="11"/>
        <v>2.4930747922437674E-2</v>
      </c>
      <c r="BB32" s="1" t="str">
        <f t="shared" si="12"/>
        <v/>
      </c>
      <c r="BC32" s="1" t="str">
        <f t="shared" si="13"/>
        <v/>
      </c>
      <c r="BD32" s="1" t="str">
        <f t="shared" si="14"/>
        <v/>
      </c>
      <c r="BE32" s="1" t="str">
        <f t="shared" si="15"/>
        <v/>
      </c>
      <c r="BF32" s="1" t="str">
        <f t="shared" si="16"/>
        <v/>
      </c>
      <c r="BG32" s="1" t="str">
        <f t="shared" si="17"/>
        <v/>
      </c>
      <c r="BH32" s="1">
        <f t="shared" si="18"/>
        <v>0.71707444039562729</v>
      </c>
      <c r="BI32" s="1" t="str">
        <f t="shared" si="19"/>
        <v/>
      </c>
      <c r="BJ32" s="1" t="str">
        <f t="shared" si="20"/>
        <v/>
      </c>
      <c r="BK32" s="1" t="str">
        <f t="shared" si="21"/>
        <v/>
      </c>
      <c r="BL32" s="1" t="str">
        <f t="shared" si="22"/>
        <v/>
      </c>
      <c r="BM32" s="1" t="str">
        <f t="shared" si="23"/>
        <v/>
      </c>
      <c r="BN32" s="1">
        <f t="shared" si="24"/>
        <v>2.3758181818181816</v>
      </c>
      <c r="BO32" s="1">
        <f t="shared" si="25"/>
        <v>7.1816770186335407E-2</v>
      </c>
      <c r="BP32" s="1" t="str">
        <f t="shared" si="26"/>
        <v/>
      </c>
      <c r="BQ32" s="1" t="str">
        <f t="shared" si="27"/>
        <v/>
      </c>
      <c r="BR32" s="1" t="str">
        <f t="shared" si="28"/>
        <v/>
      </c>
      <c r="BS32" s="1" t="str">
        <f t="shared" si="29"/>
        <v/>
      </c>
      <c r="BT32" s="1" t="str">
        <f t="shared" si="30"/>
        <v/>
      </c>
      <c r="BU32" s="1">
        <f t="shared" si="31"/>
        <v>0.41025641025641024</v>
      </c>
      <c r="BV32" s="1" t="str">
        <f t="shared" si="32"/>
        <v/>
      </c>
      <c r="BW32" s="1">
        <f t="shared" si="33"/>
        <v>0.83552631578947367</v>
      </c>
      <c r="BX32" s="1" t="str">
        <f t="shared" si="34"/>
        <v/>
      </c>
      <c r="BY32" s="1" t="str">
        <f t="shared" si="35"/>
        <v/>
      </c>
      <c r="BZ32" s="1">
        <f t="shared" si="36"/>
        <v>0.83153510312641143</v>
      </c>
      <c r="CA32" s="1" t="str">
        <f t="shared" si="37"/>
        <v/>
      </c>
      <c r="CB32" s="1">
        <f t="shared" si="38"/>
        <v>1.4694915254237289</v>
      </c>
      <c r="CC32" s="1">
        <f t="shared" si="39"/>
        <v>2.0593220338983049</v>
      </c>
      <c r="CD32" s="1">
        <f t="shared" si="40"/>
        <v>0.50344827586206897</v>
      </c>
      <c r="CE32" s="1">
        <f t="shared" si="41"/>
        <v>0.92351816443594648</v>
      </c>
      <c r="CF32" s="1" t="str">
        <f t="shared" si="42"/>
        <v/>
      </c>
      <c r="CG32" s="1" t="str">
        <f t="shared" si="43"/>
        <v/>
      </c>
      <c r="CH32" s="1" t="str">
        <f t="shared" si="44"/>
        <v/>
      </c>
      <c r="CI32" s="1" t="str">
        <f t="shared" si="45"/>
        <v/>
      </c>
      <c r="CJ32" s="1" t="str">
        <f t="shared" si="46"/>
        <v/>
      </c>
      <c r="CK32" s="1">
        <f t="shared" si="47"/>
        <v>0.25384615384615383</v>
      </c>
      <c r="CL32" s="1">
        <f t="shared" si="48"/>
        <v>0.71906354515050164</v>
      </c>
      <c r="CM32" s="1">
        <f t="shared" si="49"/>
        <v>0.85555555555555551</v>
      </c>
      <c r="CN32" s="1" t="str">
        <f t="shared" si="50"/>
        <v/>
      </c>
      <c r="CO32" s="1" t="str">
        <f t="shared" si="51"/>
        <v/>
      </c>
      <c r="CP32" s="1">
        <f t="shared" si="52"/>
        <v>0.73947667804323092</v>
      </c>
      <c r="CQ32" s="1" t="str">
        <f t="shared" si="53"/>
        <v/>
      </c>
      <c r="CR32" s="1">
        <f t="shared" si="54"/>
        <v>1.3745318352059925</v>
      </c>
      <c r="CS32" s="1">
        <f t="shared" si="55"/>
        <v>0.37265917602996257</v>
      </c>
      <c r="CT32" s="1">
        <f t="shared" si="56"/>
        <v>1.6795580110497237</v>
      </c>
    </row>
    <row r="33" spans="1:98" x14ac:dyDescent="0.3">
      <c r="A33">
        <v>2013</v>
      </c>
      <c r="B33">
        <v>5097</v>
      </c>
      <c r="C33">
        <v>6165</v>
      </c>
      <c r="K33">
        <v>3089</v>
      </c>
      <c r="L33" s="2">
        <v>318</v>
      </c>
      <c r="O33" s="2">
        <v>133</v>
      </c>
      <c r="AA33">
        <v>10151</v>
      </c>
      <c r="AC33" s="3"/>
      <c r="AD33" s="3"/>
      <c r="AE33">
        <v>555</v>
      </c>
      <c r="AF33">
        <v>544</v>
      </c>
      <c r="AG33">
        <v>30</v>
      </c>
      <c r="AH33">
        <v>464</v>
      </c>
      <c r="AI33" s="3"/>
      <c r="AN33">
        <v>288</v>
      </c>
      <c r="AO33">
        <v>220</v>
      </c>
      <c r="AU33">
        <v>397</v>
      </c>
      <c r="AV33">
        <v>176</v>
      </c>
      <c r="AW33">
        <v>875</v>
      </c>
      <c r="AY33" s="1">
        <f t="shared" si="9"/>
        <v>1.0817062818336163</v>
      </c>
      <c r="AZ33" s="1">
        <f t="shared" si="10"/>
        <v>0.70829503676470584</v>
      </c>
      <c r="BA33" s="1" t="str">
        <f t="shared" si="11"/>
        <v/>
      </c>
      <c r="BB33" s="1" t="str">
        <f t="shared" si="12"/>
        <v/>
      </c>
      <c r="BC33" s="1" t="str">
        <f t="shared" si="13"/>
        <v/>
      </c>
      <c r="BD33" s="1" t="str">
        <f t="shared" si="14"/>
        <v/>
      </c>
      <c r="BE33" s="1" t="str">
        <f t="shared" si="15"/>
        <v/>
      </c>
      <c r="BF33" s="1" t="str">
        <f t="shared" si="16"/>
        <v/>
      </c>
      <c r="BG33" s="1" t="str">
        <f t="shared" si="17"/>
        <v/>
      </c>
      <c r="BH33" s="1">
        <f t="shared" si="18"/>
        <v>0.80400832899531494</v>
      </c>
      <c r="BI33" s="1">
        <f t="shared" si="19"/>
        <v>7.112502795795124E-2</v>
      </c>
      <c r="BJ33" s="1" t="str">
        <f t="shared" si="20"/>
        <v/>
      </c>
      <c r="BK33" s="1" t="str">
        <f t="shared" si="21"/>
        <v/>
      </c>
      <c r="BL33" s="1">
        <f t="shared" si="22"/>
        <v>2.9700759267530148E-2</v>
      </c>
      <c r="BM33" s="1" t="str">
        <f t="shared" si="23"/>
        <v/>
      </c>
      <c r="BN33" s="1" t="str">
        <f t="shared" si="24"/>
        <v/>
      </c>
      <c r="BO33" s="1" t="str">
        <f t="shared" si="25"/>
        <v/>
      </c>
      <c r="BP33" s="1" t="str">
        <f t="shared" si="26"/>
        <v/>
      </c>
      <c r="BQ33" s="1" t="str">
        <f t="shared" si="27"/>
        <v/>
      </c>
      <c r="BR33" s="1" t="str">
        <f t="shared" si="28"/>
        <v/>
      </c>
      <c r="BS33" s="1" t="str">
        <f t="shared" si="29"/>
        <v/>
      </c>
      <c r="BT33" s="1" t="str">
        <f t="shared" si="30"/>
        <v/>
      </c>
      <c r="BU33" s="1" t="str">
        <f t="shared" si="31"/>
        <v/>
      </c>
      <c r="BV33" s="1" t="str">
        <f t="shared" si="32"/>
        <v/>
      </c>
      <c r="BW33" s="1" t="str">
        <f t="shared" si="33"/>
        <v/>
      </c>
      <c r="BX33" s="1">
        <f t="shared" si="34"/>
        <v>2.008905600633287</v>
      </c>
      <c r="BY33" s="1" t="str">
        <f t="shared" si="35"/>
        <v/>
      </c>
      <c r="BZ33" s="1" t="str">
        <f t="shared" si="36"/>
        <v/>
      </c>
      <c r="CA33" s="1" t="str">
        <f t="shared" si="37"/>
        <v/>
      </c>
      <c r="CB33" s="1">
        <f t="shared" si="38"/>
        <v>0.94067796610169496</v>
      </c>
      <c r="CC33" s="1">
        <f t="shared" si="39"/>
        <v>4.6101694915254239</v>
      </c>
      <c r="CD33" s="1">
        <f t="shared" si="40"/>
        <v>0.20689655172413793</v>
      </c>
      <c r="CE33" s="1">
        <f t="shared" si="41"/>
        <v>0.88718929254302104</v>
      </c>
      <c r="CF33" s="1" t="str">
        <f t="shared" si="42"/>
        <v/>
      </c>
      <c r="CG33" s="1" t="str">
        <f t="shared" si="43"/>
        <v/>
      </c>
      <c r="CH33" s="1" t="str">
        <f t="shared" si="44"/>
        <v/>
      </c>
      <c r="CI33" s="1" t="str">
        <f t="shared" si="45"/>
        <v/>
      </c>
      <c r="CJ33" s="1" t="str">
        <f t="shared" si="46"/>
        <v/>
      </c>
      <c r="CK33" s="1">
        <f t="shared" si="47"/>
        <v>0.27692307692307694</v>
      </c>
      <c r="CL33" s="1">
        <f t="shared" si="48"/>
        <v>0.73578595317725748</v>
      </c>
      <c r="CM33" s="1" t="str">
        <f t="shared" si="49"/>
        <v/>
      </c>
      <c r="CN33" s="1" t="str">
        <f t="shared" si="50"/>
        <v/>
      </c>
      <c r="CO33" s="1" t="str">
        <f t="shared" si="51"/>
        <v/>
      </c>
      <c r="CP33" s="1" t="str">
        <f t="shared" si="52"/>
        <v/>
      </c>
      <c r="CQ33" s="1" t="str">
        <f t="shared" si="53"/>
        <v/>
      </c>
      <c r="CR33" s="1">
        <f t="shared" si="54"/>
        <v>1.4868913857677903</v>
      </c>
      <c r="CS33" s="1">
        <f t="shared" si="55"/>
        <v>0.32958801498127338</v>
      </c>
      <c r="CT33" s="1">
        <f t="shared" si="56"/>
        <v>1.6114180478821363</v>
      </c>
    </row>
    <row r="34" spans="1:98" x14ac:dyDescent="0.3">
      <c r="A34">
        <v>2014</v>
      </c>
      <c r="D34" s="2">
        <v>54</v>
      </c>
      <c r="F34">
        <v>40</v>
      </c>
      <c r="H34">
        <v>2984</v>
      </c>
      <c r="P34">
        <v>10027</v>
      </c>
      <c r="Q34">
        <v>17212</v>
      </c>
      <c r="R34" s="2">
        <v>891</v>
      </c>
      <c r="S34" s="2">
        <v>1351</v>
      </c>
      <c r="T34" s="2">
        <v>4843</v>
      </c>
      <c r="U34">
        <v>45846</v>
      </c>
      <c r="V34">
        <v>747</v>
      </c>
      <c r="W34" s="2">
        <v>669</v>
      </c>
      <c r="X34" s="2">
        <v>388</v>
      </c>
      <c r="Z34" s="2">
        <v>344</v>
      </c>
      <c r="AA34">
        <v>11120</v>
      </c>
      <c r="AC34" s="3"/>
      <c r="AD34" s="3"/>
      <c r="AE34">
        <v>657</v>
      </c>
      <c r="AF34">
        <v>669</v>
      </c>
      <c r="AG34">
        <v>231</v>
      </c>
      <c r="AH34">
        <v>537</v>
      </c>
      <c r="AI34" s="3"/>
      <c r="AK34">
        <v>1081</v>
      </c>
      <c r="AN34">
        <v>147</v>
      </c>
      <c r="AS34" s="2">
        <v>698</v>
      </c>
      <c r="AV34">
        <v>208</v>
      </c>
      <c r="AW34">
        <v>1021</v>
      </c>
      <c r="AY34" s="1" t="str">
        <f t="shared" si="9"/>
        <v/>
      </c>
      <c r="AZ34" s="1" t="str">
        <f t="shared" si="10"/>
        <v/>
      </c>
      <c r="BA34" s="1">
        <f t="shared" si="11"/>
        <v>0.14958448753462603</v>
      </c>
      <c r="BB34" s="1" t="str">
        <f t="shared" si="12"/>
        <v/>
      </c>
      <c r="BC34" s="1">
        <f t="shared" si="13"/>
        <v>1.6956337431114878E-2</v>
      </c>
      <c r="BD34" s="1" t="str">
        <f t="shared" si="14"/>
        <v/>
      </c>
      <c r="BE34" s="1">
        <f t="shared" si="15"/>
        <v>1.3588342440801457</v>
      </c>
      <c r="BF34" s="1" t="str">
        <f t="shared" si="16"/>
        <v/>
      </c>
      <c r="BG34" s="1" t="str">
        <f t="shared" si="17"/>
        <v/>
      </c>
      <c r="BH34" s="1" t="str">
        <f t="shared" si="18"/>
        <v/>
      </c>
      <c r="BI34" s="1" t="str">
        <f t="shared" si="19"/>
        <v/>
      </c>
      <c r="BJ34" s="1" t="str">
        <f t="shared" si="20"/>
        <v/>
      </c>
      <c r="BK34" s="1" t="str">
        <f t="shared" si="21"/>
        <v/>
      </c>
      <c r="BL34" s="1" t="str">
        <f t="shared" si="22"/>
        <v/>
      </c>
      <c r="BM34" s="1">
        <f t="shared" si="23"/>
        <v>2.0505112474437626</v>
      </c>
      <c r="BN34" s="1">
        <f t="shared" si="24"/>
        <v>1.5647272727272727</v>
      </c>
      <c r="BO34" s="1">
        <f t="shared" si="25"/>
        <v>0.34588509316770188</v>
      </c>
      <c r="BP34" s="1">
        <f t="shared" si="26"/>
        <v>0.27560179518563849</v>
      </c>
      <c r="BQ34" s="1">
        <f t="shared" si="27"/>
        <v>0.98575208630164868</v>
      </c>
      <c r="BR34" s="1">
        <f t="shared" si="28"/>
        <v>3.1292061975291787</v>
      </c>
      <c r="BS34" s="1">
        <f t="shared" si="29"/>
        <v>0.39109947643979059</v>
      </c>
      <c r="BT34" s="1">
        <f t="shared" si="30"/>
        <v>0.47547974413646055</v>
      </c>
      <c r="BU34" s="1">
        <f t="shared" si="31"/>
        <v>0.49743589743589745</v>
      </c>
      <c r="BV34" s="1" t="str">
        <f t="shared" si="32"/>
        <v/>
      </c>
      <c r="BW34" s="1">
        <f t="shared" si="33"/>
        <v>2.263157894736842</v>
      </c>
      <c r="BX34" s="1">
        <f t="shared" si="34"/>
        <v>2.2006728676034037</v>
      </c>
      <c r="BY34" s="1" t="str">
        <f t="shared" si="35"/>
        <v/>
      </c>
      <c r="BZ34" s="1" t="str">
        <f t="shared" si="36"/>
        <v/>
      </c>
      <c r="CA34" s="1" t="str">
        <f t="shared" si="37"/>
        <v/>
      </c>
      <c r="CB34" s="1">
        <f t="shared" si="38"/>
        <v>1.1135593220338984</v>
      </c>
      <c r="CC34" s="1">
        <f t="shared" si="39"/>
        <v>5.6694915254237293</v>
      </c>
      <c r="CD34" s="1">
        <f t="shared" si="40"/>
        <v>1.5931034482758621</v>
      </c>
      <c r="CE34" s="1">
        <f t="shared" si="41"/>
        <v>1.0267686424474187</v>
      </c>
      <c r="CF34" s="1" t="str">
        <f t="shared" si="42"/>
        <v/>
      </c>
      <c r="CG34" s="1" t="str">
        <f t="shared" si="43"/>
        <v/>
      </c>
      <c r="CH34" s="1">
        <f t="shared" si="44"/>
        <v>0.1081</v>
      </c>
      <c r="CI34" s="1" t="str">
        <f t="shared" si="45"/>
        <v/>
      </c>
      <c r="CJ34" s="1" t="str">
        <f t="shared" si="46"/>
        <v/>
      </c>
      <c r="CK34" s="1">
        <f t="shared" si="47"/>
        <v>0.14134615384615384</v>
      </c>
      <c r="CL34" s="1" t="str">
        <f t="shared" si="48"/>
        <v/>
      </c>
      <c r="CM34" s="1" t="str">
        <f t="shared" si="49"/>
        <v/>
      </c>
      <c r="CN34" s="1" t="str">
        <f t="shared" si="50"/>
        <v/>
      </c>
      <c r="CO34" s="1" t="str">
        <f t="shared" si="51"/>
        <v/>
      </c>
      <c r="CP34" s="1">
        <f t="shared" si="52"/>
        <v>0.79408418657565416</v>
      </c>
      <c r="CQ34" s="1" t="str">
        <f t="shared" si="53"/>
        <v/>
      </c>
      <c r="CR34" s="1" t="str">
        <f t="shared" si="54"/>
        <v/>
      </c>
      <c r="CS34" s="1">
        <f t="shared" si="55"/>
        <v>0.38951310861423222</v>
      </c>
      <c r="CT34" s="1">
        <f t="shared" si="56"/>
        <v>1.8802946593001841</v>
      </c>
    </row>
    <row r="35" spans="1:98" x14ac:dyDescent="0.3">
      <c r="A35">
        <v>2015</v>
      </c>
      <c r="B35">
        <v>4673</v>
      </c>
      <c r="C35">
        <v>3302</v>
      </c>
      <c r="E35" s="2">
        <v>0.1</v>
      </c>
      <c r="G35">
        <v>973</v>
      </c>
      <c r="I35">
        <v>2666</v>
      </c>
      <c r="J35" s="2">
        <v>0.1</v>
      </c>
      <c r="K35">
        <v>3758</v>
      </c>
      <c r="L35" s="2">
        <v>306</v>
      </c>
      <c r="N35">
        <v>4813</v>
      </c>
      <c r="O35" s="2">
        <v>48</v>
      </c>
      <c r="AC35" s="3">
        <v>17086</v>
      </c>
      <c r="AD35" s="3"/>
      <c r="AE35">
        <v>1255</v>
      </c>
      <c r="AF35">
        <v>638</v>
      </c>
      <c r="AG35">
        <v>219</v>
      </c>
      <c r="AH35">
        <v>660</v>
      </c>
      <c r="AI35" s="3"/>
      <c r="AN35">
        <v>172</v>
      </c>
      <c r="AO35">
        <v>220</v>
      </c>
      <c r="AP35" s="2">
        <v>83</v>
      </c>
      <c r="AU35">
        <v>483</v>
      </c>
      <c r="AV35">
        <v>306</v>
      </c>
      <c r="AW35">
        <v>1006</v>
      </c>
      <c r="AY35" s="1">
        <f t="shared" si="9"/>
        <v>0.99172325976230902</v>
      </c>
      <c r="AZ35" s="1">
        <f t="shared" si="10"/>
        <v>0.37936580882352944</v>
      </c>
      <c r="BA35" s="1" t="str">
        <f t="shared" si="11"/>
        <v/>
      </c>
      <c r="BB35" s="1">
        <f t="shared" si="12"/>
        <v>3.8314176245210733E-5</v>
      </c>
      <c r="BC35" s="1" t="str">
        <f t="shared" si="13"/>
        <v/>
      </c>
      <c r="BD35" s="1">
        <f t="shared" si="14"/>
        <v>0.23485397055273957</v>
      </c>
      <c r="BE35" s="1" t="str">
        <f t="shared" si="15"/>
        <v/>
      </c>
      <c r="BF35" s="1">
        <f t="shared" si="16"/>
        <v>0.18915850716617</v>
      </c>
      <c r="BG35" s="1">
        <f t="shared" si="17"/>
        <v>5.9808612440191389E-5</v>
      </c>
      <c r="BH35" s="1">
        <f t="shared" si="18"/>
        <v>0.97813638729828212</v>
      </c>
      <c r="BI35" s="1">
        <f t="shared" si="19"/>
        <v>6.8441064638783272E-2</v>
      </c>
      <c r="BJ35" s="1" t="str">
        <f t="shared" si="20"/>
        <v/>
      </c>
      <c r="BK35" s="1">
        <f t="shared" si="21"/>
        <v>0.21574252543816397</v>
      </c>
      <c r="BL35" s="1">
        <f t="shared" si="22"/>
        <v>1.0719071013845467E-2</v>
      </c>
      <c r="BM35" s="1" t="str">
        <f t="shared" si="23"/>
        <v/>
      </c>
      <c r="BN35" s="1" t="str">
        <f t="shared" si="24"/>
        <v/>
      </c>
      <c r="BO35" s="1" t="str">
        <f t="shared" si="25"/>
        <v/>
      </c>
      <c r="BP35" s="1" t="str">
        <f t="shared" si="26"/>
        <v/>
      </c>
      <c r="BQ35" s="1" t="str">
        <f t="shared" si="27"/>
        <v/>
      </c>
      <c r="BR35" s="1" t="str">
        <f t="shared" si="28"/>
        <v/>
      </c>
      <c r="BS35" s="1" t="str">
        <f t="shared" si="29"/>
        <v/>
      </c>
      <c r="BT35" s="1" t="str">
        <f t="shared" si="30"/>
        <v/>
      </c>
      <c r="BU35" s="1" t="str">
        <f t="shared" si="31"/>
        <v/>
      </c>
      <c r="BV35" s="1" t="str">
        <f t="shared" si="32"/>
        <v/>
      </c>
      <c r="BW35" s="1" t="str">
        <f t="shared" si="33"/>
        <v/>
      </c>
      <c r="BX35" s="1" t="str">
        <f t="shared" si="34"/>
        <v/>
      </c>
      <c r="BY35" s="1" t="str">
        <f t="shared" si="35"/>
        <v/>
      </c>
      <c r="BZ35" s="1">
        <f t="shared" si="36"/>
        <v>0.8574296181060872</v>
      </c>
      <c r="CA35" s="1" t="str">
        <f t="shared" si="37"/>
        <v/>
      </c>
      <c r="CB35" s="1">
        <f t="shared" si="38"/>
        <v>2.1271186440677967</v>
      </c>
      <c r="CC35" s="1">
        <f t="shared" si="39"/>
        <v>5.406779661016949</v>
      </c>
      <c r="CD35" s="1">
        <f t="shared" si="40"/>
        <v>1.5103448275862068</v>
      </c>
      <c r="CE35" s="1">
        <f t="shared" si="41"/>
        <v>1.2619502868068833</v>
      </c>
      <c r="CF35" s="1" t="str">
        <f t="shared" si="42"/>
        <v/>
      </c>
      <c r="CG35" s="1" t="str">
        <f t="shared" si="43"/>
        <v/>
      </c>
      <c r="CH35" s="1" t="str">
        <f t="shared" si="44"/>
        <v/>
      </c>
      <c r="CI35" s="1" t="str">
        <f t="shared" si="45"/>
        <v/>
      </c>
      <c r="CJ35" s="1" t="str">
        <f t="shared" si="46"/>
        <v/>
      </c>
      <c r="CK35" s="1">
        <f t="shared" si="47"/>
        <v>0.16538461538461538</v>
      </c>
      <c r="CL35" s="1">
        <f t="shared" si="48"/>
        <v>0.73578595317725748</v>
      </c>
      <c r="CM35" s="1">
        <f t="shared" si="49"/>
        <v>0.92222222222222228</v>
      </c>
      <c r="CN35" s="1" t="str">
        <f t="shared" si="50"/>
        <v/>
      </c>
      <c r="CO35" s="1" t="str">
        <f t="shared" si="51"/>
        <v/>
      </c>
      <c r="CP35" s="1" t="str">
        <f t="shared" si="52"/>
        <v/>
      </c>
      <c r="CQ35" s="1" t="str">
        <f t="shared" si="53"/>
        <v/>
      </c>
      <c r="CR35" s="1">
        <f t="shared" si="54"/>
        <v>1.8089887640449438</v>
      </c>
      <c r="CS35" s="1">
        <f t="shared" si="55"/>
        <v>0.5730337078651685</v>
      </c>
      <c r="CT35" s="1">
        <f t="shared" si="56"/>
        <v>1.8526703499079189</v>
      </c>
    </row>
    <row r="36" spans="1:98" x14ac:dyDescent="0.3">
      <c r="A36">
        <v>2016</v>
      </c>
      <c r="AA36">
        <v>10715</v>
      </c>
      <c r="AC36" s="3"/>
      <c r="AD36" s="3"/>
      <c r="AE36" s="3"/>
      <c r="AF36" s="3"/>
      <c r="AG36" s="3"/>
      <c r="AH36" s="3"/>
      <c r="AI36" s="3"/>
      <c r="AN36">
        <v>286</v>
      </c>
      <c r="AO36">
        <v>220</v>
      </c>
      <c r="AP36" s="2">
        <v>85</v>
      </c>
      <c r="AQ36" s="2">
        <v>120</v>
      </c>
      <c r="AR36" s="2">
        <v>102</v>
      </c>
      <c r="AS36" s="2">
        <v>796</v>
      </c>
      <c r="AT36" s="2">
        <v>172</v>
      </c>
      <c r="AU36">
        <v>371</v>
      </c>
      <c r="AY36" s="1" t="str">
        <f t="shared" si="9"/>
        <v/>
      </c>
      <c r="AZ36" s="1" t="str">
        <f t="shared" si="10"/>
        <v/>
      </c>
      <c r="BA36" s="1" t="str">
        <f t="shared" si="11"/>
        <v/>
      </c>
      <c r="BB36" s="1" t="str">
        <f t="shared" si="12"/>
        <v/>
      </c>
      <c r="BC36" s="1" t="str">
        <f t="shared" si="13"/>
        <v/>
      </c>
      <c r="BD36" s="1" t="str">
        <f t="shared" si="14"/>
        <v/>
      </c>
      <c r="BE36" s="1" t="str">
        <f t="shared" si="15"/>
        <v/>
      </c>
      <c r="BF36" s="1" t="str">
        <f t="shared" si="16"/>
        <v/>
      </c>
      <c r="BG36" s="1" t="str">
        <f t="shared" si="17"/>
        <v/>
      </c>
      <c r="BH36" s="1" t="str">
        <f t="shared" si="18"/>
        <v/>
      </c>
      <c r="BI36" s="1" t="str">
        <f t="shared" si="19"/>
        <v/>
      </c>
      <c r="BJ36" s="1" t="str">
        <f t="shared" si="20"/>
        <v/>
      </c>
      <c r="BK36" s="1" t="str">
        <f t="shared" si="21"/>
        <v/>
      </c>
      <c r="BL36" s="1" t="str">
        <f t="shared" si="22"/>
        <v/>
      </c>
      <c r="BM36" s="1" t="str">
        <f t="shared" si="23"/>
        <v/>
      </c>
      <c r="BN36" s="1" t="str">
        <f t="shared" si="24"/>
        <v/>
      </c>
      <c r="BO36" s="1" t="str">
        <f t="shared" si="25"/>
        <v/>
      </c>
      <c r="BP36" s="1" t="str">
        <f t="shared" si="26"/>
        <v/>
      </c>
      <c r="BQ36" s="1" t="str">
        <f t="shared" si="27"/>
        <v/>
      </c>
      <c r="BR36" s="1" t="str">
        <f t="shared" si="28"/>
        <v/>
      </c>
      <c r="BS36" s="1" t="str">
        <f t="shared" si="29"/>
        <v/>
      </c>
      <c r="BT36" s="1" t="str">
        <f t="shared" si="30"/>
        <v/>
      </c>
      <c r="BU36" s="1" t="str">
        <f t="shared" si="31"/>
        <v/>
      </c>
      <c r="BV36" s="1" t="str">
        <f t="shared" si="32"/>
        <v/>
      </c>
      <c r="BW36" s="1" t="str">
        <f t="shared" si="33"/>
        <v/>
      </c>
      <c r="BX36" s="1">
        <f t="shared" si="34"/>
        <v>2.1205224619038194</v>
      </c>
      <c r="BY36" s="1" t="str">
        <f t="shared" si="35"/>
        <v/>
      </c>
      <c r="BZ36" s="1" t="str">
        <f t="shared" si="36"/>
        <v/>
      </c>
      <c r="CA36" s="1" t="str">
        <f t="shared" si="37"/>
        <v/>
      </c>
      <c r="CB36" s="1" t="str">
        <f t="shared" si="38"/>
        <v/>
      </c>
      <c r="CC36" s="1" t="str">
        <f t="shared" si="39"/>
        <v/>
      </c>
      <c r="CD36" s="1" t="str">
        <f t="shared" si="40"/>
        <v/>
      </c>
      <c r="CE36" s="1" t="str">
        <f t="shared" si="41"/>
        <v/>
      </c>
      <c r="CF36" s="1" t="str">
        <f t="shared" si="42"/>
        <v/>
      </c>
      <c r="CG36" s="1" t="str">
        <f t="shared" si="43"/>
        <v/>
      </c>
      <c r="CH36" s="1" t="str">
        <f t="shared" si="44"/>
        <v/>
      </c>
      <c r="CI36" s="1" t="str">
        <f t="shared" si="45"/>
        <v/>
      </c>
      <c r="CJ36" s="1" t="str">
        <f t="shared" si="46"/>
        <v/>
      </c>
      <c r="CK36" s="1">
        <f t="shared" si="47"/>
        <v>0.27500000000000002</v>
      </c>
      <c r="CL36" s="1">
        <f t="shared" si="48"/>
        <v>0.73578595317725748</v>
      </c>
      <c r="CM36" s="1">
        <f t="shared" si="49"/>
        <v>0.94444444444444442</v>
      </c>
      <c r="CN36" s="1">
        <f t="shared" si="50"/>
        <v>0.36036036036036034</v>
      </c>
      <c r="CO36" s="1">
        <f t="shared" si="51"/>
        <v>7.3223259152907394E-2</v>
      </c>
      <c r="CP36" s="1">
        <f t="shared" si="52"/>
        <v>0.90557451649601817</v>
      </c>
      <c r="CQ36" s="1">
        <f t="shared" si="53"/>
        <v>0.58703071672354945</v>
      </c>
      <c r="CR36" s="1">
        <f t="shared" si="54"/>
        <v>1.3895131086142323</v>
      </c>
      <c r="CS36" s="1" t="str">
        <f t="shared" si="55"/>
        <v/>
      </c>
      <c r="CT36" s="1" t="str">
        <f t="shared" si="56"/>
        <v/>
      </c>
    </row>
    <row r="37" spans="1:98" x14ac:dyDescent="0.3">
      <c r="A37">
        <v>2017</v>
      </c>
      <c r="AC37" s="3">
        <v>19927</v>
      </c>
      <c r="AD37" s="3"/>
      <c r="AE37">
        <v>548</v>
      </c>
      <c r="AF37">
        <v>721</v>
      </c>
      <c r="AG37">
        <v>141</v>
      </c>
      <c r="AH37">
        <v>465</v>
      </c>
      <c r="AI37" s="3"/>
      <c r="AU37">
        <v>568</v>
      </c>
      <c r="AY37" s="1" t="str">
        <f t="shared" si="9"/>
        <v/>
      </c>
      <c r="AZ37" s="1" t="str">
        <f t="shared" si="10"/>
        <v/>
      </c>
      <c r="BA37" s="1" t="str">
        <f t="shared" si="11"/>
        <v/>
      </c>
      <c r="BB37" s="1" t="str">
        <f t="shared" si="12"/>
        <v/>
      </c>
      <c r="BC37" s="1" t="str">
        <f t="shared" si="13"/>
        <v/>
      </c>
      <c r="BD37" s="1" t="str">
        <f t="shared" si="14"/>
        <v/>
      </c>
      <c r="BE37" s="1" t="str">
        <f t="shared" si="15"/>
        <v/>
      </c>
      <c r="BF37" s="1" t="str">
        <f t="shared" si="16"/>
        <v/>
      </c>
      <c r="BG37" s="1" t="str">
        <f t="shared" si="17"/>
        <v/>
      </c>
      <c r="BH37" s="1" t="str">
        <f t="shared" si="18"/>
        <v/>
      </c>
      <c r="BI37" s="1" t="str">
        <f t="shared" si="19"/>
        <v/>
      </c>
      <c r="BJ37" s="1" t="str">
        <f t="shared" si="20"/>
        <v/>
      </c>
      <c r="BK37" s="1" t="str">
        <f t="shared" si="21"/>
        <v/>
      </c>
      <c r="BL37" s="1" t="str">
        <f t="shared" si="22"/>
        <v/>
      </c>
      <c r="BM37" s="1" t="str">
        <f t="shared" si="23"/>
        <v/>
      </c>
      <c r="BN37" s="1" t="str">
        <f t="shared" si="24"/>
        <v/>
      </c>
      <c r="BO37" s="1" t="str">
        <f t="shared" si="25"/>
        <v/>
      </c>
      <c r="BP37" s="1" t="str">
        <f t="shared" si="26"/>
        <v/>
      </c>
      <c r="BQ37" s="1" t="str">
        <f t="shared" si="27"/>
        <v/>
      </c>
      <c r="BR37" s="1" t="str">
        <f t="shared" si="28"/>
        <v/>
      </c>
      <c r="BS37" s="1" t="str">
        <f t="shared" si="29"/>
        <v/>
      </c>
      <c r="BT37" s="1" t="str">
        <f t="shared" si="30"/>
        <v/>
      </c>
      <c r="BU37" s="1" t="str">
        <f t="shared" si="31"/>
        <v/>
      </c>
      <c r="BV37" s="1" t="str">
        <f t="shared" si="32"/>
        <v/>
      </c>
      <c r="BW37" s="1" t="str">
        <f t="shared" si="33"/>
        <v/>
      </c>
      <c r="BX37" s="1" t="str">
        <f t="shared" si="34"/>
        <v/>
      </c>
      <c r="BY37" s="1" t="str">
        <f t="shared" si="35"/>
        <v/>
      </c>
      <c r="BZ37" s="1">
        <f t="shared" si="36"/>
        <v>1</v>
      </c>
      <c r="CA37" s="1" t="str">
        <f t="shared" si="37"/>
        <v/>
      </c>
      <c r="CB37" s="1">
        <f t="shared" si="38"/>
        <v>0.92881355932203391</v>
      </c>
      <c r="CC37" s="1">
        <f t="shared" si="39"/>
        <v>6.1101694915254239</v>
      </c>
      <c r="CD37" s="1">
        <f t="shared" si="40"/>
        <v>0.97241379310344822</v>
      </c>
      <c r="CE37" s="1">
        <f t="shared" si="41"/>
        <v>0.88910133843212236</v>
      </c>
      <c r="CF37" s="1" t="str">
        <f t="shared" si="42"/>
        <v/>
      </c>
      <c r="CG37" s="1" t="str">
        <f t="shared" si="43"/>
        <v/>
      </c>
      <c r="CH37" s="1" t="str">
        <f t="shared" si="44"/>
        <v/>
      </c>
      <c r="CI37" s="1" t="str">
        <f t="shared" si="45"/>
        <v/>
      </c>
      <c r="CJ37" s="1" t="str">
        <f t="shared" si="46"/>
        <v/>
      </c>
      <c r="CK37" s="1" t="str">
        <f t="shared" si="47"/>
        <v/>
      </c>
      <c r="CL37" s="1" t="str">
        <f t="shared" si="48"/>
        <v/>
      </c>
      <c r="CM37" s="1" t="str">
        <f t="shared" si="49"/>
        <v/>
      </c>
      <c r="CN37" s="1" t="str">
        <f t="shared" si="50"/>
        <v/>
      </c>
      <c r="CO37" s="1" t="str">
        <f t="shared" si="51"/>
        <v/>
      </c>
      <c r="CP37" s="1" t="str">
        <f t="shared" si="52"/>
        <v/>
      </c>
      <c r="CQ37" s="1" t="str">
        <f t="shared" si="53"/>
        <v/>
      </c>
      <c r="CR37" s="1">
        <f t="shared" si="54"/>
        <v>2.1273408239700373</v>
      </c>
      <c r="CS37" s="1" t="str">
        <f t="shared" si="55"/>
        <v/>
      </c>
      <c r="CT37" s="1" t="str">
        <f t="shared" si="56"/>
        <v/>
      </c>
    </row>
    <row r="38" spans="1:98" x14ac:dyDescent="0.3">
      <c r="A38">
        <v>2018</v>
      </c>
      <c r="F38">
        <v>132</v>
      </c>
      <c r="P38">
        <v>8402</v>
      </c>
      <c r="Q38">
        <v>15404</v>
      </c>
      <c r="R38" s="2">
        <v>510</v>
      </c>
      <c r="S38" s="2">
        <v>1463</v>
      </c>
      <c r="AA38">
        <v>10764</v>
      </c>
      <c r="AC38" s="3"/>
      <c r="AD38" s="3"/>
      <c r="AE38" s="3"/>
      <c r="AF38" s="3"/>
      <c r="AG38" s="3"/>
      <c r="AH38" s="3"/>
      <c r="AI38" s="3"/>
      <c r="AU38">
        <v>477</v>
      </c>
      <c r="AV38">
        <v>379</v>
      </c>
      <c r="AW38">
        <v>1226</v>
      </c>
      <c r="AY38" s="1" t="str">
        <f t="shared" si="9"/>
        <v/>
      </c>
      <c r="AZ38" s="1" t="str">
        <f t="shared" si="10"/>
        <v/>
      </c>
      <c r="BA38" s="1" t="str">
        <f t="shared" si="11"/>
        <v/>
      </c>
      <c r="BB38" s="1" t="str">
        <f t="shared" si="12"/>
        <v/>
      </c>
      <c r="BC38" s="1">
        <f t="shared" si="13"/>
        <v>5.5955913522679104E-2</v>
      </c>
      <c r="BD38" s="1" t="str">
        <f t="shared" si="14"/>
        <v/>
      </c>
      <c r="BE38" s="1" t="str">
        <f t="shared" si="15"/>
        <v/>
      </c>
      <c r="BF38" s="1" t="str">
        <f t="shared" si="16"/>
        <v/>
      </c>
      <c r="BG38" s="1" t="str">
        <f t="shared" si="17"/>
        <v/>
      </c>
      <c r="BH38" s="1" t="str">
        <f t="shared" si="18"/>
        <v/>
      </c>
      <c r="BI38" s="1" t="str">
        <f t="shared" si="19"/>
        <v/>
      </c>
      <c r="BJ38" s="1" t="str">
        <f t="shared" si="20"/>
        <v/>
      </c>
      <c r="BK38" s="1" t="str">
        <f t="shared" si="21"/>
        <v/>
      </c>
      <c r="BL38" s="1" t="str">
        <f t="shared" si="22"/>
        <v/>
      </c>
      <c r="BM38" s="1">
        <f t="shared" si="23"/>
        <v>1.718200408997955</v>
      </c>
      <c r="BN38" s="1">
        <f t="shared" si="24"/>
        <v>1.4003636363636363</v>
      </c>
      <c r="BO38" s="1">
        <f t="shared" si="25"/>
        <v>0.19798136645962733</v>
      </c>
      <c r="BP38" s="1">
        <f t="shared" si="26"/>
        <v>0.29844961240310075</v>
      </c>
      <c r="BQ38" s="1" t="str">
        <f t="shared" si="27"/>
        <v/>
      </c>
      <c r="BR38" s="1" t="str">
        <f t="shared" si="28"/>
        <v/>
      </c>
      <c r="BS38" s="1" t="str">
        <f t="shared" si="29"/>
        <v/>
      </c>
      <c r="BT38" s="1" t="str">
        <f t="shared" si="30"/>
        <v/>
      </c>
      <c r="BU38" s="1" t="str">
        <f t="shared" si="31"/>
        <v/>
      </c>
      <c r="BV38" s="1" t="str">
        <f t="shared" si="32"/>
        <v/>
      </c>
      <c r="BW38" s="1" t="str">
        <f t="shared" si="33"/>
        <v/>
      </c>
      <c r="BX38" s="1">
        <f t="shared" si="34"/>
        <v>2.1302196714822879</v>
      </c>
      <c r="BY38" s="1" t="str">
        <f t="shared" si="35"/>
        <v/>
      </c>
      <c r="BZ38" s="1" t="str">
        <f t="shared" si="36"/>
        <v/>
      </c>
      <c r="CA38" s="1" t="str">
        <f t="shared" si="37"/>
        <v/>
      </c>
      <c r="CB38" s="1" t="str">
        <f t="shared" si="38"/>
        <v/>
      </c>
      <c r="CC38" s="1" t="str">
        <f t="shared" si="39"/>
        <v/>
      </c>
      <c r="CD38" s="1" t="str">
        <f t="shared" si="40"/>
        <v/>
      </c>
      <c r="CE38" s="1" t="str">
        <f t="shared" si="41"/>
        <v/>
      </c>
      <c r="CF38" s="1" t="str">
        <f t="shared" si="42"/>
        <v/>
      </c>
      <c r="CG38" s="1" t="str">
        <f t="shared" si="43"/>
        <v/>
      </c>
      <c r="CH38" s="1" t="str">
        <f t="shared" si="44"/>
        <v/>
      </c>
      <c r="CI38" s="1" t="str">
        <f t="shared" si="45"/>
        <v/>
      </c>
      <c r="CJ38" s="1" t="str">
        <f t="shared" si="46"/>
        <v/>
      </c>
      <c r="CK38" s="1" t="str">
        <f t="shared" si="47"/>
        <v/>
      </c>
      <c r="CL38" s="1" t="str">
        <f t="shared" si="48"/>
        <v/>
      </c>
      <c r="CM38" s="1" t="str">
        <f t="shared" si="49"/>
        <v/>
      </c>
      <c r="CN38" s="1" t="str">
        <f t="shared" si="50"/>
        <v/>
      </c>
      <c r="CO38" s="1" t="str">
        <f t="shared" si="51"/>
        <v/>
      </c>
      <c r="CP38" s="1" t="str">
        <f t="shared" si="52"/>
        <v/>
      </c>
      <c r="CQ38" s="1" t="str">
        <f t="shared" si="53"/>
        <v/>
      </c>
      <c r="CR38" s="1">
        <f t="shared" si="54"/>
        <v>1.7865168539325842</v>
      </c>
      <c r="CS38" s="1">
        <f t="shared" si="55"/>
        <v>0.70973782771535576</v>
      </c>
      <c r="CT38" s="1">
        <f t="shared" si="56"/>
        <v>2.2578268876611416</v>
      </c>
    </row>
    <row r="39" spans="1:98" x14ac:dyDescent="0.3">
      <c r="A39">
        <v>2019</v>
      </c>
      <c r="AB39" s="2">
        <v>81</v>
      </c>
      <c r="AC39" s="3"/>
      <c r="AD39">
        <v>314</v>
      </c>
      <c r="AE39">
        <v>663</v>
      </c>
      <c r="AF39" s="3"/>
      <c r="AG39">
        <v>159</v>
      </c>
      <c r="AH39">
        <v>795</v>
      </c>
      <c r="AI39">
        <v>521</v>
      </c>
      <c r="AU39">
        <v>519</v>
      </c>
      <c r="AY39" s="1" t="str">
        <f t="shared" si="9"/>
        <v/>
      </c>
      <c r="AZ39" s="1" t="str">
        <f t="shared" si="10"/>
        <v/>
      </c>
      <c r="BA39" s="1" t="str">
        <f t="shared" si="11"/>
        <v/>
      </c>
      <c r="BB39" s="1" t="str">
        <f t="shared" si="12"/>
        <v/>
      </c>
      <c r="BC39" s="1" t="str">
        <f t="shared" si="13"/>
        <v/>
      </c>
      <c r="BD39" s="1" t="str">
        <f t="shared" si="14"/>
        <v/>
      </c>
      <c r="BE39" s="1" t="str">
        <f t="shared" si="15"/>
        <v/>
      </c>
      <c r="BF39" s="1" t="str">
        <f t="shared" si="16"/>
        <v/>
      </c>
      <c r="BG39" s="1" t="str">
        <f t="shared" si="17"/>
        <v/>
      </c>
      <c r="BH39" s="1" t="str">
        <f t="shared" si="18"/>
        <v/>
      </c>
      <c r="BI39" s="1" t="str">
        <f t="shared" si="19"/>
        <v/>
      </c>
      <c r="BJ39" s="1" t="str">
        <f t="shared" si="20"/>
        <v/>
      </c>
      <c r="BK39" s="1" t="str">
        <f t="shared" si="21"/>
        <v/>
      </c>
      <c r="BL39" s="1" t="str">
        <f t="shared" si="22"/>
        <v/>
      </c>
      <c r="BM39" s="1" t="str">
        <f t="shared" si="23"/>
        <v/>
      </c>
      <c r="BN39" s="1" t="str">
        <f t="shared" si="24"/>
        <v/>
      </c>
      <c r="BO39" s="1" t="str">
        <f t="shared" si="25"/>
        <v/>
      </c>
      <c r="BP39" s="1" t="str">
        <f t="shared" si="26"/>
        <v/>
      </c>
      <c r="BQ39" s="1" t="str">
        <f t="shared" si="27"/>
        <v/>
      </c>
      <c r="BR39" s="1" t="str">
        <f t="shared" si="28"/>
        <v/>
      </c>
      <c r="BS39" s="1" t="str">
        <f t="shared" si="29"/>
        <v/>
      </c>
      <c r="BT39" s="1" t="str">
        <f t="shared" si="30"/>
        <v/>
      </c>
      <c r="BU39" s="1" t="str">
        <f t="shared" si="31"/>
        <v/>
      </c>
      <c r="BV39" s="1" t="str">
        <f t="shared" si="32"/>
        <v/>
      </c>
      <c r="BW39" s="1" t="str">
        <f t="shared" si="33"/>
        <v/>
      </c>
      <c r="BX39" s="1" t="str">
        <f t="shared" si="34"/>
        <v/>
      </c>
      <c r="BY39" s="1">
        <f t="shared" si="35"/>
        <v>0.2231404958677686</v>
      </c>
      <c r="BZ39" s="1" t="str">
        <f t="shared" si="36"/>
        <v/>
      </c>
      <c r="CA39" s="1">
        <f t="shared" si="37"/>
        <v>1.2610441767068272</v>
      </c>
      <c r="CB39" s="1">
        <f t="shared" si="38"/>
        <v>1.123728813559322</v>
      </c>
      <c r="CC39" s="1" t="str">
        <f t="shared" si="39"/>
        <v/>
      </c>
      <c r="CD39" s="1">
        <f t="shared" si="40"/>
        <v>1.096551724137931</v>
      </c>
      <c r="CE39" s="1">
        <f t="shared" si="41"/>
        <v>1.5200764818355641</v>
      </c>
      <c r="CF39" s="1">
        <f t="shared" si="42"/>
        <v>3.0115606936416186</v>
      </c>
      <c r="CG39" s="1" t="str">
        <f t="shared" si="43"/>
        <v/>
      </c>
      <c r="CH39" s="1" t="str">
        <f t="shared" si="44"/>
        <v/>
      </c>
      <c r="CI39" s="1" t="str">
        <f t="shared" si="45"/>
        <v/>
      </c>
      <c r="CJ39" s="1" t="str">
        <f t="shared" si="46"/>
        <v/>
      </c>
      <c r="CK39" s="1" t="str">
        <f t="shared" si="47"/>
        <v/>
      </c>
      <c r="CL39" s="1" t="str">
        <f t="shared" si="48"/>
        <v/>
      </c>
      <c r="CM39" s="1" t="str">
        <f t="shared" si="49"/>
        <v/>
      </c>
      <c r="CN39" s="1" t="str">
        <f t="shared" si="50"/>
        <v/>
      </c>
      <c r="CO39" s="1" t="str">
        <f t="shared" si="51"/>
        <v/>
      </c>
      <c r="CP39" s="1" t="str">
        <f t="shared" si="52"/>
        <v/>
      </c>
      <c r="CQ39" s="1" t="str">
        <f t="shared" si="53"/>
        <v/>
      </c>
      <c r="CR39" s="1">
        <f t="shared" si="54"/>
        <v>1.9438202247191012</v>
      </c>
      <c r="CS39" s="1" t="str">
        <f t="shared" si="55"/>
        <v/>
      </c>
      <c r="CT39" s="1" t="str">
        <f t="shared" si="56"/>
        <v/>
      </c>
    </row>
    <row r="40" spans="1:98" x14ac:dyDescent="0.3">
      <c r="A40">
        <v>2020</v>
      </c>
      <c r="V40">
        <v>528</v>
      </c>
      <c r="AU40">
        <v>492</v>
      </c>
      <c r="AV40">
        <v>373</v>
      </c>
      <c r="AW40">
        <v>1498</v>
      </c>
      <c r="AY40" s="1" t="str">
        <f t="shared" si="9"/>
        <v/>
      </c>
      <c r="AZ40" s="1" t="str">
        <f t="shared" si="10"/>
        <v/>
      </c>
      <c r="BA40" s="1" t="str">
        <f t="shared" si="11"/>
        <v/>
      </c>
      <c r="BB40" s="1" t="str">
        <f t="shared" si="12"/>
        <v/>
      </c>
      <c r="BC40" s="1" t="str">
        <f t="shared" si="13"/>
        <v/>
      </c>
      <c r="BD40" s="1" t="str">
        <f t="shared" si="14"/>
        <v/>
      </c>
      <c r="BE40" s="1" t="str">
        <f t="shared" si="15"/>
        <v/>
      </c>
      <c r="BF40" s="1" t="str">
        <f t="shared" si="16"/>
        <v/>
      </c>
      <c r="BG40" s="1" t="str">
        <f t="shared" si="17"/>
        <v/>
      </c>
      <c r="BH40" s="1" t="str">
        <f t="shared" si="18"/>
        <v/>
      </c>
      <c r="BI40" s="1" t="str">
        <f t="shared" si="19"/>
        <v/>
      </c>
      <c r="BJ40" s="1" t="str">
        <f t="shared" si="20"/>
        <v/>
      </c>
      <c r="BK40" s="1" t="str">
        <f t="shared" si="21"/>
        <v/>
      </c>
      <c r="BL40" s="1" t="str">
        <f t="shared" si="22"/>
        <v/>
      </c>
      <c r="BM40" s="1" t="str">
        <f t="shared" si="23"/>
        <v/>
      </c>
      <c r="BN40" s="1" t="str">
        <f t="shared" si="24"/>
        <v/>
      </c>
      <c r="BO40" s="1" t="str">
        <f t="shared" si="25"/>
        <v/>
      </c>
      <c r="BP40" s="1" t="str">
        <f t="shared" si="26"/>
        <v/>
      </c>
      <c r="BQ40" s="1" t="str">
        <f t="shared" si="27"/>
        <v/>
      </c>
      <c r="BR40" s="1" t="str">
        <f t="shared" si="28"/>
        <v/>
      </c>
      <c r="BS40" s="1">
        <f t="shared" si="29"/>
        <v>0.27643979057591622</v>
      </c>
      <c r="BT40" s="1" t="str">
        <f t="shared" si="30"/>
        <v/>
      </c>
      <c r="BU40" s="1" t="str">
        <f t="shared" si="31"/>
        <v/>
      </c>
      <c r="BV40" s="1" t="str">
        <f t="shared" si="32"/>
        <v/>
      </c>
      <c r="BW40" s="1" t="str">
        <f t="shared" si="33"/>
        <v/>
      </c>
      <c r="BX40" s="1" t="str">
        <f t="shared" si="34"/>
        <v/>
      </c>
      <c r="BY40" s="1" t="str">
        <f t="shared" si="35"/>
        <v/>
      </c>
      <c r="BZ40" s="1" t="str">
        <f t="shared" si="36"/>
        <v/>
      </c>
      <c r="CA40" s="1" t="str">
        <f t="shared" si="37"/>
        <v/>
      </c>
      <c r="CB40" s="1" t="str">
        <f t="shared" si="38"/>
        <v/>
      </c>
      <c r="CC40" s="1" t="str">
        <f t="shared" si="39"/>
        <v/>
      </c>
      <c r="CD40" s="1" t="str">
        <f t="shared" si="40"/>
        <v/>
      </c>
      <c r="CE40" s="1" t="str">
        <f t="shared" si="41"/>
        <v/>
      </c>
      <c r="CF40" s="1" t="str">
        <f t="shared" si="42"/>
        <v/>
      </c>
      <c r="CG40" s="1" t="str">
        <f t="shared" si="43"/>
        <v/>
      </c>
      <c r="CH40" s="1" t="str">
        <f t="shared" si="44"/>
        <v/>
      </c>
      <c r="CI40" s="1" t="str">
        <f t="shared" si="45"/>
        <v/>
      </c>
      <c r="CJ40" s="1" t="str">
        <f t="shared" si="46"/>
        <v/>
      </c>
      <c r="CK40" s="1" t="str">
        <f t="shared" si="47"/>
        <v/>
      </c>
      <c r="CL40" s="1" t="str">
        <f t="shared" si="48"/>
        <v/>
      </c>
      <c r="CM40" s="1" t="str">
        <f t="shared" si="49"/>
        <v/>
      </c>
      <c r="CN40" s="1" t="str">
        <f t="shared" si="50"/>
        <v/>
      </c>
      <c r="CO40" s="1" t="str">
        <f t="shared" si="51"/>
        <v/>
      </c>
      <c r="CP40" s="1" t="str">
        <f t="shared" si="52"/>
        <v/>
      </c>
      <c r="CQ40" s="1" t="str">
        <f t="shared" si="53"/>
        <v/>
      </c>
      <c r="CR40" s="1">
        <f t="shared" si="54"/>
        <v>1.8426966292134832</v>
      </c>
      <c r="CS40" s="1">
        <f t="shared" si="55"/>
        <v>0.69850187265917607</v>
      </c>
      <c r="CT40" s="1">
        <f t="shared" si="56"/>
        <v>2.7587476979742172</v>
      </c>
    </row>
    <row r="41" spans="1:98" x14ac:dyDescent="0.3">
      <c r="A41">
        <v>2021</v>
      </c>
      <c r="F41">
        <v>81</v>
      </c>
      <c r="AA41">
        <v>9215</v>
      </c>
      <c r="AY41" s="1" t="str">
        <f t="shared" si="9"/>
        <v/>
      </c>
      <c r="AZ41" s="1" t="str">
        <f t="shared" si="10"/>
        <v/>
      </c>
      <c r="BA41" s="1" t="str">
        <f t="shared" si="11"/>
        <v/>
      </c>
      <c r="BB41" s="1" t="str">
        <f t="shared" si="12"/>
        <v/>
      </c>
      <c r="BC41" s="1">
        <f t="shared" si="13"/>
        <v>3.4336583298007629E-2</v>
      </c>
      <c r="BD41" s="1" t="str">
        <f t="shared" si="14"/>
        <v/>
      </c>
      <c r="BE41" s="1" t="str">
        <f t="shared" si="15"/>
        <v/>
      </c>
      <c r="BF41" s="1" t="str">
        <f t="shared" si="16"/>
        <v/>
      </c>
      <c r="BG41" s="1" t="str">
        <f t="shared" si="17"/>
        <v/>
      </c>
      <c r="BH41" s="1" t="str">
        <f t="shared" si="18"/>
        <v/>
      </c>
      <c r="BI41" s="1" t="str">
        <f t="shared" si="19"/>
        <v/>
      </c>
      <c r="BJ41" s="1" t="str">
        <f t="shared" si="20"/>
        <v/>
      </c>
      <c r="BK41" s="1" t="str">
        <f t="shared" si="21"/>
        <v/>
      </c>
      <c r="BL41" s="1" t="str">
        <f t="shared" si="22"/>
        <v/>
      </c>
      <c r="BM41" s="1" t="str">
        <f t="shared" si="23"/>
        <v/>
      </c>
      <c r="BN41" s="1" t="str">
        <f t="shared" si="24"/>
        <v/>
      </c>
      <c r="BO41" s="1" t="str">
        <f t="shared" si="25"/>
        <v/>
      </c>
      <c r="BP41" s="1" t="str">
        <f t="shared" si="26"/>
        <v/>
      </c>
      <c r="BQ41" s="1" t="str">
        <f t="shared" si="27"/>
        <v/>
      </c>
      <c r="BR41" s="1" t="str">
        <f t="shared" si="28"/>
        <v/>
      </c>
      <c r="BS41" s="1" t="str">
        <f t="shared" si="29"/>
        <v/>
      </c>
      <c r="BT41" s="1" t="str">
        <f t="shared" si="30"/>
        <v/>
      </c>
      <c r="BU41" s="1" t="str">
        <f t="shared" si="31"/>
        <v/>
      </c>
      <c r="BV41" s="1" t="str">
        <f t="shared" si="32"/>
        <v/>
      </c>
      <c r="BW41" s="1" t="str">
        <f t="shared" si="33"/>
        <v/>
      </c>
      <c r="BX41" s="1">
        <f t="shared" si="34"/>
        <v>1.8236691074609144</v>
      </c>
      <c r="BY41" s="1" t="str">
        <f t="shared" si="35"/>
        <v/>
      </c>
      <c r="BZ41" s="1" t="str">
        <f t="shared" si="36"/>
        <v/>
      </c>
      <c r="CA41" s="1" t="str">
        <f t="shared" si="37"/>
        <v/>
      </c>
      <c r="CB41" s="1" t="str">
        <f t="shared" si="38"/>
        <v/>
      </c>
      <c r="CC41" s="1" t="str">
        <f t="shared" si="39"/>
        <v/>
      </c>
      <c r="CD41" s="1" t="str">
        <f t="shared" si="40"/>
        <v/>
      </c>
      <c r="CE41" s="1" t="str">
        <f t="shared" si="41"/>
        <v/>
      </c>
      <c r="CF41" s="1" t="str">
        <f t="shared" si="42"/>
        <v/>
      </c>
      <c r="CG41" s="1" t="str">
        <f t="shared" si="43"/>
        <v/>
      </c>
      <c r="CH41" s="1" t="str">
        <f t="shared" si="44"/>
        <v/>
      </c>
      <c r="CI41" s="1" t="str">
        <f t="shared" si="45"/>
        <v/>
      </c>
      <c r="CJ41" s="1" t="str">
        <f t="shared" si="46"/>
        <v/>
      </c>
      <c r="CK41" s="1" t="str">
        <f t="shared" si="47"/>
        <v/>
      </c>
      <c r="CL41" s="1" t="str">
        <f t="shared" si="48"/>
        <v/>
      </c>
      <c r="CM41" s="1" t="str">
        <f t="shared" si="49"/>
        <v/>
      </c>
      <c r="CN41" s="1" t="str">
        <f t="shared" si="50"/>
        <v/>
      </c>
      <c r="CO41" s="1" t="str">
        <f t="shared" si="51"/>
        <v/>
      </c>
      <c r="CP41" s="1" t="str">
        <f t="shared" si="52"/>
        <v/>
      </c>
      <c r="CQ41" s="1" t="str">
        <f t="shared" si="53"/>
        <v/>
      </c>
      <c r="CR41" s="1" t="str">
        <f t="shared" si="54"/>
        <v/>
      </c>
      <c r="CS41" s="1" t="str">
        <f t="shared" si="55"/>
        <v/>
      </c>
      <c r="CT41" s="1" t="str">
        <f t="shared" si="56"/>
        <v/>
      </c>
    </row>
    <row r="42" spans="1:98" x14ac:dyDescent="0.3">
      <c r="A42">
        <v>2022</v>
      </c>
      <c r="F42">
        <v>345</v>
      </c>
      <c r="I42">
        <v>5982</v>
      </c>
      <c r="J42" s="2">
        <v>0.1</v>
      </c>
      <c r="K42">
        <v>8745</v>
      </c>
      <c r="N42">
        <v>3840</v>
      </c>
      <c r="O42" s="2">
        <v>552</v>
      </c>
      <c r="V42">
        <v>1681</v>
      </c>
      <c r="AA42">
        <v>10812</v>
      </c>
      <c r="AU42">
        <v>577</v>
      </c>
      <c r="AY42" s="1" t="str">
        <f t="shared" si="9"/>
        <v/>
      </c>
      <c r="AZ42" s="1" t="str">
        <f t="shared" si="10"/>
        <v/>
      </c>
      <c r="BA42" s="1" t="str">
        <f t="shared" si="11"/>
        <v/>
      </c>
      <c r="BB42" s="1" t="str">
        <f t="shared" si="12"/>
        <v/>
      </c>
      <c r="BC42" s="1">
        <f t="shared" si="13"/>
        <v>0.14624841034336583</v>
      </c>
      <c r="BD42" s="1" t="str">
        <f t="shared" si="14"/>
        <v/>
      </c>
      <c r="BE42" s="1" t="str">
        <f t="shared" si="15"/>
        <v/>
      </c>
      <c r="BF42" s="1">
        <f t="shared" si="16"/>
        <v>0.42443593018305664</v>
      </c>
      <c r="BG42" s="1">
        <f t="shared" si="17"/>
        <v>5.9808612440191389E-5</v>
      </c>
      <c r="BH42" s="1">
        <f t="shared" si="18"/>
        <v>2.2761582509109837</v>
      </c>
      <c r="BI42" s="1" t="str">
        <f t="shared" si="19"/>
        <v/>
      </c>
      <c r="BJ42" s="1" t="str">
        <f t="shared" si="20"/>
        <v/>
      </c>
      <c r="BK42" s="1">
        <f t="shared" si="21"/>
        <v>0.17212784078174728</v>
      </c>
      <c r="BL42" s="1">
        <f t="shared" si="22"/>
        <v>0.12326931665922286</v>
      </c>
      <c r="BM42" s="1" t="str">
        <f t="shared" si="23"/>
        <v/>
      </c>
      <c r="BN42" s="1" t="str">
        <f t="shared" si="24"/>
        <v/>
      </c>
      <c r="BO42" s="1" t="str">
        <f t="shared" si="25"/>
        <v/>
      </c>
      <c r="BP42" s="1" t="str">
        <f t="shared" si="26"/>
        <v/>
      </c>
      <c r="BQ42" s="1" t="str">
        <f t="shared" si="27"/>
        <v/>
      </c>
      <c r="BR42" s="1" t="str">
        <f t="shared" si="28"/>
        <v/>
      </c>
      <c r="BS42" s="1">
        <f t="shared" si="29"/>
        <v>0.88010471204188478</v>
      </c>
      <c r="BT42" s="1" t="str">
        <f t="shared" si="30"/>
        <v/>
      </c>
      <c r="BU42" s="1" t="str">
        <f t="shared" si="31"/>
        <v/>
      </c>
      <c r="BV42" s="1" t="str">
        <f t="shared" si="32"/>
        <v/>
      </c>
      <c r="BW42" s="1" t="str">
        <f t="shared" si="33"/>
        <v/>
      </c>
      <c r="BX42" s="1">
        <f t="shared" si="34"/>
        <v>2.1397189788244608</v>
      </c>
      <c r="BY42" s="1" t="str">
        <f t="shared" si="35"/>
        <v/>
      </c>
      <c r="BZ42" s="1" t="str">
        <f t="shared" si="36"/>
        <v/>
      </c>
      <c r="CA42" s="1" t="str">
        <f t="shared" si="37"/>
        <v/>
      </c>
      <c r="CB42" s="1" t="str">
        <f t="shared" si="38"/>
        <v/>
      </c>
      <c r="CC42" s="1" t="str">
        <f t="shared" si="39"/>
        <v/>
      </c>
      <c r="CD42" s="1" t="str">
        <f t="shared" si="40"/>
        <v/>
      </c>
      <c r="CE42" s="1" t="str">
        <f t="shared" si="41"/>
        <v/>
      </c>
      <c r="CF42" s="1" t="str">
        <f t="shared" si="42"/>
        <v/>
      </c>
      <c r="CG42" s="1" t="str">
        <f t="shared" si="43"/>
        <v/>
      </c>
      <c r="CH42" s="1" t="str">
        <f t="shared" si="44"/>
        <v/>
      </c>
      <c r="CI42" s="1" t="str">
        <f t="shared" si="45"/>
        <v/>
      </c>
      <c r="CJ42" s="1" t="str">
        <f t="shared" si="46"/>
        <v/>
      </c>
      <c r="CK42" s="1" t="str">
        <f t="shared" si="47"/>
        <v/>
      </c>
      <c r="CL42" s="1" t="str">
        <f t="shared" si="48"/>
        <v/>
      </c>
      <c r="CM42" s="1" t="str">
        <f t="shared" si="49"/>
        <v/>
      </c>
      <c r="CN42" s="1" t="str">
        <f t="shared" si="50"/>
        <v/>
      </c>
      <c r="CO42" s="1" t="str">
        <f t="shared" si="51"/>
        <v/>
      </c>
      <c r="CP42" s="1" t="str">
        <f t="shared" si="52"/>
        <v/>
      </c>
      <c r="CQ42" s="1" t="str">
        <f t="shared" si="53"/>
        <v/>
      </c>
      <c r="CR42" s="1">
        <f t="shared" si="54"/>
        <v>2.161048689138577</v>
      </c>
      <c r="CS42" s="1" t="str">
        <f t="shared" si="55"/>
        <v/>
      </c>
      <c r="CT42" s="1" t="str">
        <f t="shared" si="56"/>
        <v/>
      </c>
    </row>
    <row r="43" spans="1:98" x14ac:dyDescent="0.3">
      <c r="A43">
        <v>2023</v>
      </c>
      <c r="AU43">
        <v>650</v>
      </c>
      <c r="AY43" s="1" t="str">
        <f t="shared" si="9"/>
        <v/>
      </c>
      <c r="AZ43" s="1" t="str">
        <f t="shared" si="10"/>
        <v/>
      </c>
      <c r="BA43" s="1" t="str">
        <f t="shared" si="11"/>
        <v/>
      </c>
      <c r="BB43" s="1" t="str">
        <f t="shared" si="12"/>
        <v/>
      </c>
      <c r="BC43" s="1" t="str">
        <f t="shared" si="13"/>
        <v/>
      </c>
      <c r="BD43" s="1"/>
      <c r="BE43" s="1"/>
      <c r="BF43" s="1" t="str">
        <f t="shared" si="16"/>
        <v/>
      </c>
      <c r="BG43" s="1" t="str">
        <f t="shared" si="17"/>
        <v/>
      </c>
      <c r="BH43" s="1" t="str">
        <f t="shared" si="18"/>
        <v/>
      </c>
      <c r="BI43" s="1" t="str">
        <f t="shared" si="19"/>
        <v/>
      </c>
      <c r="BJ43" s="1" t="str">
        <f t="shared" si="20"/>
        <v/>
      </c>
      <c r="BK43" s="1" t="str">
        <f t="shared" si="21"/>
        <v/>
      </c>
      <c r="BL43" s="1" t="str">
        <f t="shared" si="22"/>
        <v/>
      </c>
      <c r="BM43" s="1" t="str">
        <f t="shared" si="23"/>
        <v/>
      </c>
      <c r="BN43" s="1" t="str">
        <f t="shared" si="24"/>
        <v/>
      </c>
      <c r="BO43" s="1" t="str">
        <f t="shared" si="25"/>
        <v/>
      </c>
      <c r="BP43" s="1" t="str">
        <f t="shared" si="26"/>
        <v/>
      </c>
      <c r="BQ43" s="1" t="str">
        <f t="shared" si="27"/>
        <v/>
      </c>
      <c r="BR43" s="1" t="str">
        <f t="shared" si="28"/>
        <v/>
      </c>
      <c r="BS43" s="1" t="str">
        <f t="shared" si="29"/>
        <v/>
      </c>
      <c r="BT43" s="1" t="str">
        <f t="shared" si="30"/>
        <v/>
      </c>
      <c r="BU43" s="1" t="str">
        <f t="shared" si="31"/>
        <v/>
      </c>
      <c r="BV43" s="1" t="str">
        <f t="shared" si="32"/>
        <v/>
      </c>
      <c r="BW43" s="1" t="str">
        <f t="shared" si="33"/>
        <v/>
      </c>
      <c r="BX43" s="1" t="str">
        <f t="shared" si="34"/>
        <v/>
      </c>
      <c r="BY43" s="1" t="str">
        <f t="shared" si="35"/>
        <v/>
      </c>
      <c r="BZ43" s="1" t="str">
        <f t="shared" ref="BZ43:BZ44" si="57">IF((AC43/AC$3)&gt;0,(AC43/AC$3),"")</f>
        <v/>
      </c>
      <c r="CA43" s="1"/>
      <c r="CB43" s="1"/>
      <c r="CC43" s="1"/>
      <c r="CD43" s="1"/>
      <c r="CE43" s="1"/>
      <c r="CF43" s="1"/>
      <c r="CG43" s="1" t="str">
        <f t="shared" ref="CG43:CG44" si="58">IF((AJ43/AJ$3)&gt;0,(AJ43/AJ$3),"")</f>
        <v/>
      </c>
      <c r="CH43" s="1" t="str">
        <f t="shared" ref="CH43:CH44" si="59">IF((AK43/AK$3)&gt;0,(AK43/AK$3),"")</f>
        <v/>
      </c>
      <c r="CI43" s="1" t="str">
        <f t="shared" si="45"/>
        <v/>
      </c>
      <c r="CJ43" s="1" t="str">
        <f t="shared" si="46"/>
        <v/>
      </c>
      <c r="CK43" s="1" t="str">
        <f t="shared" si="47"/>
        <v/>
      </c>
      <c r="CL43" s="1" t="str">
        <f t="shared" si="48"/>
        <v/>
      </c>
      <c r="CM43" s="1" t="str">
        <f t="shared" si="49"/>
        <v/>
      </c>
      <c r="CN43" s="1" t="str">
        <f t="shared" si="50"/>
        <v/>
      </c>
      <c r="CO43" s="1" t="str">
        <f t="shared" si="51"/>
        <v/>
      </c>
      <c r="CP43" s="1" t="str">
        <f t="shared" si="52"/>
        <v/>
      </c>
      <c r="CQ43" s="1" t="str">
        <f t="shared" si="53"/>
        <v/>
      </c>
      <c r="CR43" s="1">
        <f t="shared" si="54"/>
        <v>2.4344569288389515</v>
      </c>
      <c r="CS43" s="1" t="str">
        <f t="shared" si="55"/>
        <v/>
      </c>
      <c r="CT43" s="1" t="str">
        <f t="shared" si="56"/>
        <v/>
      </c>
    </row>
    <row r="44" spans="1:98" x14ac:dyDescent="0.3">
      <c r="A44">
        <v>2024</v>
      </c>
      <c r="AY44" s="1" t="str">
        <f t="shared" si="9"/>
        <v/>
      </c>
      <c r="AZ44" s="1" t="str">
        <f t="shared" si="10"/>
        <v/>
      </c>
      <c r="BA44" s="1" t="str">
        <f t="shared" si="11"/>
        <v/>
      </c>
      <c r="BB44" s="1" t="str">
        <f t="shared" si="12"/>
        <v/>
      </c>
      <c r="BC44" s="1" t="str">
        <f t="shared" si="13"/>
        <v/>
      </c>
      <c r="BD44" s="1"/>
      <c r="BE44" s="1"/>
      <c r="BF44" s="1" t="str">
        <f t="shared" si="16"/>
        <v/>
      </c>
      <c r="BG44" s="1" t="str">
        <f t="shared" si="17"/>
        <v/>
      </c>
      <c r="BH44" s="1" t="str">
        <f t="shared" si="18"/>
        <v/>
      </c>
      <c r="BI44" s="1" t="str">
        <f t="shared" si="19"/>
        <v/>
      </c>
      <c r="BJ44" s="1" t="str">
        <f t="shared" si="20"/>
        <v/>
      </c>
      <c r="BK44" s="1" t="str">
        <f t="shared" si="21"/>
        <v/>
      </c>
      <c r="BL44" s="1" t="str">
        <f t="shared" si="22"/>
        <v/>
      </c>
      <c r="BM44" s="1" t="str">
        <f t="shared" si="23"/>
        <v/>
      </c>
      <c r="BN44" s="1" t="str">
        <f t="shared" si="24"/>
        <v/>
      </c>
      <c r="BO44" s="1" t="str">
        <f t="shared" si="25"/>
        <v/>
      </c>
      <c r="BP44" s="1" t="str">
        <f t="shared" si="26"/>
        <v/>
      </c>
      <c r="BQ44" s="1" t="str">
        <f t="shared" si="27"/>
        <v/>
      </c>
      <c r="BR44" s="1" t="str">
        <f t="shared" si="28"/>
        <v/>
      </c>
      <c r="BS44" s="1" t="str">
        <f t="shared" si="29"/>
        <v/>
      </c>
      <c r="BT44" s="1" t="str">
        <f t="shared" si="30"/>
        <v/>
      </c>
      <c r="BU44" s="1" t="str">
        <f t="shared" si="31"/>
        <v/>
      </c>
      <c r="BV44" s="1" t="str">
        <f t="shared" si="32"/>
        <v/>
      </c>
      <c r="BW44" s="1" t="str">
        <f t="shared" si="33"/>
        <v/>
      </c>
      <c r="BX44" s="1" t="str">
        <f t="shared" si="34"/>
        <v/>
      </c>
      <c r="BY44" s="1" t="str">
        <f t="shared" si="35"/>
        <v/>
      </c>
      <c r="BZ44" s="1" t="str">
        <f t="shared" si="57"/>
        <v/>
      </c>
      <c r="CA44" s="1"/>
      <c r="CB44" s="1"/>
      <c r="CC44" s="1"/>
      <c r="CD44" s="1"/>
      <c r="CE44" s="1"/>
      <c r="CF44" s="1"/>
      <c r="CG44" s="1" t="str">
        <f t="shared" si="58"/>
        <v/>
      </c>
      <c r="CH44" s="1" t="str">
        <f t="shared" si="59"/>
        <v/>
      </c>
      <c r="CI44" s="1" t="str">
        <f t="shared" si="45"/>
        <v/>
      </c>
      <c r="CJ44" s="1" t="str">
        <f t="shared" si="46"/>
        <v/>
      </c>
      <c r="CK44" s="1" t="str">
        <f t="shared" si="47"/>
        <v/>
      </c>
      <c r="CL44" s="1" t="str">
        <f t="shared" si="48"/>
        <v/>
      </c>
      <c r="CM44" s="1" t="str">
        <f t="shared" si="49"/>
        <v/>
      </c>
      <c r="CN44" s="1" t="str">
        <f t="shared" si="50"/>
        <v/>
      </c>
      <c r="CO44" s="1" t="str">
        <f t="shared" si="51"/>
        <v/>
      </c>
      <c r="CP44" s="1" t="str">
        <f t="shared" si="52"/>
        <v/>
      </c>
      <c r="CQ44" s="1" t="str">
        <f t="shared" si="53"/>
        <v/>
      </c>
      <c r="CR44" s="1" t="str">
        <f t="shared" si="54"/>
        <v/>
      </c>
      <c r="CS44" s="1" t="str">
        <f t="shared" si="55"/>
        <v/>
      </c>
      <c r="CT44" s="1" t="str">
        <f t="shared" si="56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1DD96-3E68-41E5-B3CB-28AC57586B42}">
  <dimension ref="A1:IH4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RowHeight="14.4" x14ac:dyDescent="0.3"/>
  <cols>
    <col min="1" max="1" width="16.109375" bestFit="1" customWidth="1"/>
  </cols>
  <sheetData>
    <row r="1" spans="1:242" x14ac:dyDescent="0.3">
      <c r="A1" t="s">
        <v>69</v>
      </c>
      <c r="AY1" t="s">
        <v>60</v>
      </c>
      <c r="AZ1" t="s">
        <v>61</v>
      </c>
      <c r="BA1" t="s">
        <v>62</v>
      </c>
      <c r="BC1" t="s">
        <v>60</v>
      </c>
      <c r="BD1" t="s">
        <v>61</v>
      </c>
      <c r="BE1" t="s">
        <v>62</v>
      </c>
      <c r="BG1" t="s">
        <v>60</v>
      </c>
      <c r="BH1" t="s">
        <v>61</v>
      </c>
      <c r="BI1" t="s">
        <v>62</v>
      </c>
      <c r="BK1" t="s">
        <v>60</v>
      </c>
      <c r="BL1" t="s">
        <v>61</v>
      </c>
      <c r="BM1" t="s">
        <v>62</v>
      </c>
      <c r="BO1" t="s">
        <v>60</v>
      </c>
      <c r="BP1" t="s">
        <v>61</v>
      </c>
      <c r="BQ1" t="s">
        <v>62</v>
      </c>
      <c r="BS1" t="s">
        <v>60</v>
      </c>
      <c r="BT1" t="s">
        <v>61</v>
      </c>
      <c r="BU1" t="s">
        <v>62</v>
      </c>
      <c r="BW1" t="s">
        <v>60</v>
      </c>
      <c r="BX1" t="s">
        <v>61</v>
      </c>
      <c r="BY1" t="s">
        <v>62</v>
      </c>
      <c r="CA1" t="s">
        <v>60</v>
      </c>
      <c r="CB1" t="s">
        <v>61</v>
      </c>
      <c r="CC1" t="s">
        <v>62</v>
      </c>
      <c r="CE1" t="s">
        <v>60</v>
      </c>
      <c r="CF1" t="s">
        <v>61</v>
      </c>
      <c r="CG1" t="s">
        <v>62</v>
      </c>
      <c r="CI1" t="s">
        <v>60</v>
      </c>
      <c r="CJ1" t="s">
        <v>61</v>
      </c>
      <c r="CK1" t="s">
        <v>62</v>
      </c>
      <c r="CM1" t="s">
        <v>60</v>
      </c>
      <c r="CN1" t="s">
        <v>61</v>
      </c>
      <c r="CO1" t="s">
        <v>62</v>
      </c>
      <c r="CQ1" t="s">
        <v>60</v>
      </c>
      <c r="CR1" t="s">
        <v>61</v>
      </c>
      <c r="CS1" t="s">
        <v>62</v>
      </c>
      <c r="CU1" t="s">
        <v>60</v>
      </c>
      <c r="CV1" t="s">
        <v>61</v>
      </c>
      <c r="CW1" t="s">
        <v>62</v>
      </c>
      <c r="CY1" t="s">
        <v>60</v>
      </c>
      <c r="CZ1" t="s">
        <v>61</v>
      </c>
      <c r="DA1" t="s">
        <v>62</v>
      </c>
      <c r="DC1" t="s">
        <v>60</v>
      </c>
      <c r="DD1" t="s">
        <v>61</v>
      </c>
      <c r="DE1" t="s">
        <v>62</v>
      </c>
      <c r="DG1" t="s">
        <v>60</v>
      </c>
      <c r="DH1" t="s">
        <v>61</v>
      </c>
      <c r="DI1" t="s">
        <v>62</v>
      </c>
      <c r="DK1" t="s">
        <v>60</v>
      </c>
      <c r="DL1" t="s">
        <v>61</v>
      </c>
      <c r="DM1" t="s">
        <v>62</v>
      </c>
      <c r="DO1" t="s">
        <v>60</v>
      </c>
      <c r="DP1" t="s">
        <v>61</v>
      </c>
      <c r="DQ1" t="s">
        <v>62</v>
      </c>
      <c r="DS1" t="s">
        <v>60</v>
      </c>
      <c r="DT1" t="s">
        <v>61</v>
      </c>
      <c r="DU1" t="s">
        <v>62</v>
      </c>
      <c r="DW1" t="s">
        <v>60</v>
      </c>
      <c r="DX1" t="s">
        <v>61</v>
      </c>
      <c r="DY1" t="s">
        <v>62</v>
      </c>
      <c r="EA1" t="s">
        <v>60</v>
      </c>
      <c r="EB1" t="s">
        <v>61</v>
      </c>
      <c r="EC1" t="s">
        <v>62</v>
      </c>
      <c r="EE1" t="s">
        <v>60</v>
      </c>
      <c r="EF1" t="s">
        <v>61</v>
      </c>
      <c r="EG1" t="s">
        <v>62</v>
      </c>
      <c r="EI1" t="s">
        <v>60</v>
      </c>
      <c r="EJ1" t="s">
        <v>61</v>
      </c>
      <c r="EK1" t="s">
        <v>62</v>
      </c>
      <c r="EM1" t="s">
        <v>60</v>
      </c>
      <c r="EN1" t="s">
        <v>61</v>
      </c>
      <c r="EO1" t="s">
        <v>62</v>
      </c>
      <c r="EQ1" t="s">
        <v>60</v>
      </c>
      <c r="ER1" t="s">
        <v>61</v>
      </c>
      <c r="ES1" t="s">
        <v>62</v>
      </c>
      <c r="EU1" t="s">
        <v>60</v>
      </c>
      <c r="EV1" t="s">
        <v>61</v>
      </c>
      <c r="EW1" t="s">
        <v>62</v>
      </c>
      <c r="EY1" t="s">
        <v>60</v>
      </c>
      <c r="EZ1" t="s">
        <v>61</v>
      </c>
      <c r="FA1" t="s">
        <v>62</v>
      </c>
      <c r="FC1" t="s">
        <v>60</v>
      </c>
      <c r="FD1" t="s">
        <v>61</v>
      </c>
      <c r="FE1" t="s">
        <v>62</v>
      </c>
      <c r="FG1" t="s">
        <v>60</v>
      </c>
      <c r="FH1" t="s">
        <v>61</v>
      </c>
      <c r="FI1" t="s">
        <v>62</v>
      </c>
      <c r="FK1" t="s">
        <v>60</v>
      </c>
      <c r="FL1" t="s">
        <v>61</v>
      </c>
      <c r="FM1" t="s">
        <v>62</v>
      </c>
      <c r="FO1" t="s">
        <v>60</v>
      </c>
      <c r="FP1" t="s">
        <v>61</v>
      </c>
      <c r="FQ1" t="s">
        <v>62</v>
      </c>
      <c r="FS1" t="s">
        <v>60</v>
      </c>
      <c r="FT1" t="s">
        <v>61</v>
      </c>
      <c r="FU1" t="s">
        <v>62</v>
      </c>
      <c r="FW1" t="s">
        <v>60</v>
      </c>
      <c r="FX1" t="s">
        <v>61</v>
      </c>
      <c r="FY1" t="s">
        <v>62</v>
      </c>
      <c r="GA1" t="s">
        <v>60</v>
      </c>
      <c r="GB1" t="s">
        <v>61</v>
      </c>
      <c r="GC1" t="s">
        <v>62</v>
      </c>
      <c r="GE1" t="s">
        <v>60</v>
      </c>
      <c r="GF1" t="s">
        <v>61</v>
      </c>
      <c r="GG1" t="s">
        <v>62</v>
      </c>
      <c r="GI1" t="s">
        <v>60</v>
      </c>
      <c r="GJ1" t="s">
        <v>61</v>
      </c>
      <c r="GK1" t="s">
        <v>62</v>
      </c>
      <c r="GM1" t="s">
        <v>60</v>
      </c>
      <c r="GN1" t="s">
        <v>61</v>
      </c>
      <c r="GO1" t="s">
        <v>62</v>
      </c>
      <c r="GQ1" t="s">
        <v>60</v>
      </c>
      <c r="GR1" t="s">
        <v>61</v>
      </c>
      <c r="GS1" t="s">
        <v>62</v>
      </c>
      <c r="GU1" t="s">
        <v>60</v>
      </c>
      <c r="GV1" t="s">
        <v>61</v>
      </c>
      <c r="GW1" t="s">
        <v>62</v>
      </c>
      <c r="GY1" t="s">
        <v>60</v>
      </c>
      <c r="GZ1" t="s">
        <v>61</v>
      </c>
      <c r="HA1" t="s">
        <v>62</v>
      </c>
      <c r="HC1" t="s">
        <v>60</v>
      </c>
      <c r="HD1" t="s">
        <v>61</v>
      </c>
      <c r="HE1" t="s">
        <v>62</v>
      </c>
      <c r="HG1" t="s">
        <v>60</v>
      </c>
      <c r="HH1" t="s">
        <v>61</v>
      </c>
      <c r="HI1" t="s">
        <v>62</v>
      </c>
      <c r="HK1" t="s">
        <v>60</v>
      </c>
      <c r="HL1" t="s">
        <v>61</v>
      </c>
      <c r="HM1" t="s">
        <v>62</v>
      </c>
      <c r="HO1" t="s">
        <v>60</v>
      </c>
      <c r="HP1" t="s">
        <v>61</v>
      </c>
      <c r="HQ1" t="s">
        <v>62</v>
      </c>
      <c r="HS1" t="s">
        <v>60</v>
      </c>
      <c r="HT1" t="s">
        <v>61</v>
      </c>
      <c r="HU1" t="s">
        <v>62</v>
      </c>
      <c r="HW1" t="s">
        <v>60</v>
      </c>
      <c r="HX1" t="s">
        <v>61</v>
      </c>
      <c r="HY1" t="s">
        <v>62</v>
      </c>
      <c r="IA1" t="s">
        <v>60</v>
      </c>
      <c r="IB1" t="s">
        <v>61</v>
      </c>
      <c r="IC1" t="s">
        <v>62</v>
      </c>
      <c r="IE1" t="s">
        <v>60</v>
      </c>
      <c r="IF1" t="s">
        <v>61</v>
      </c>
      <c r="IG1" t="s">
        <v>62</v>
      </c>
    </row>
    <row r="2" spans="1:242" x14ac:dyDescent="0.3">
      <c r="A2" t="s">
        <v>70</v>
      </c>
      <c r="AY2" s="3">
        <v>-3.9950000000000003E-3</v>
      </c>
      <c r="AZ2" s="3">
        <v>7.5600000000000001E-2</v>
      </c>
      <c r="BA2" t="s">
        <v>65</v>
      </c>
      <c r="BC2" s="3">
        <v>-5.1270000000000003E-2</v>
      </c>
      <c r="BD2" s="3">
        <v>0.1159</v>
      </c>
      <c r="BE2" t="s">
        <v>63</v>
      </c>
      <c r="BG2" s="3">
        <v>0.37</v>
      </c>
      <c r="BH2" s="3">
        <v>0.43159999999999998</v>
      </c>
      <c r="BI2" t="s">
        <v>64</v>
      </c>
      <c r="BK2" s="3">
        <v>-0.33360000000000001</v>
      </c>
      <c r="BL2" s="3">
        <v>0.318</v>
      </c>
      <c r="BM2" t="s">
        <v>63</v>
      </c>
      <c r="BO2" s="3">
        <v>-6.658E-2</v>
      </c>
      <c r="BP2" s="3">
        <v>6.4380000000000007E-2</v>
      </c>
      <c r="BQ2" t="s">
        <v>63</v>
      </c>
      <c r="BS2" s="3">
        <v>4.5409999999999999E-2</v>
      </c>
      <c r="BT2" s="3">
        <v>9.9890000000000007E-2</v>
      </c>
      <c r="BU2" t="s">
        <v>64</v>
      </c>
      <c r="BW2" s="3">
        <v>-1.6709999999999999E-2</v>
      </c>
      <c r="BX2" s="3">
        <v>3.7879999999999997E-2</v>
      </c>
      <c r="BY2" t="s">
        <v>63</v>
      </c>
      <c r="CA2" s="3">
        <v>0.1552</v>
      </c>
      <c r="CB2" s="3">
        <v>0.2505</v>
      </c>
      <c r="CC2" t="s">
        <v>64</v>
      </c>
      <c r="CE2" t="s">
        <v>66</v>
      </c>
      <c r="CI2" s="3">
        <v>8.1500000000000003E-2</v>
      </c>
      <c r="CJ2" s="3">
        <v>2.8000000000000001E-2</v>
      </c>
      <c r="CK2" t="s">
        <v>67</v>
      </c>
      <c r="CM2" s="3">
        <v>0.47210000000000002</v>
      </c>
      <c r="CN2" s="3">
        <v>0.35010000000000002</v>
      </c>
      <c r="CO2" t="s">
        <v>64</v>
      </c>
      <c r="CQ2" s="3">
        <v>0.1181</v>
      </c>
      <c r="CR2" s="3">
        <v>0.14199999999999999</v>
      </c>
      <c r="CS2" t="s">
        <v>64</v>
      </c>
      <c r="CU2" s="3">
        <v>-1.392E-2</v>
      </c>
      <c r="CV2" s="3">
        <v>6.1460000000000001E-2</v>
      </c>
      <c r="CW2" t="s">
        <v>63</v>
      </c>
      <c r="CY2" s="3">
        <v>-2.4809999999999999E-2</v>
      </c>
      <c r="CZ2" s="3">
        <v>0.1726</v>
      </c>
      <c r="DA2" t="s">
        <v>63</v>
      </c>
      <c r="DC2" s="3">
        <v>3.6340000000000001E-3</v>
      </c>
      <c r="DD2" s="3">
        <v>6.7629999999999996E-2</v>
      </c>
      <c r="DE2" t="s">
        <v>65</v>
      </c>
      <c r="DG2" s="3">
        <v>-2.3869999999999999E-2</v>
      </c>
      <c r="DH2" s="3">
        <v>3.5470000000000002E-2</v>
      </c>
      <c r="DI2" t="s">
        <v>65</v>
      </c>
      <c r="DK2" s="3">
        <v>0.3881</v>
      </c>
      <c r="DL2" s="3">
        <v>0.88949999999999996</v>
      </c>
      <c r="DM2" t="s">
        <v>64</v>
      </c>
      <c r="DO2" s="3">
        <v>0.43590000000000001</v>
      </c>
      <c r="DP2" s="3">
        <v>0.30730000000000002</v>
      </c>
      <c r="DQ2" t="s">
        <v>64</v>
      </c>
      <c r="DS2" s="3">
        <v>-4.3189999999999999E-3</v>
      </c>
      <c r="DT2" s="3">
        <v>7.707E-2</v>
      </c>
      <c r="DU2" t="s">
        <v>65</v>
      </c>
      <c r="DW2" s="3">
        <v>3.6970000000000003E-2</v>
      </c>
      <c r="DX2" s="3">
        <v>3.6229999999999998E-2</v>
      </c>
      <c r="DY2" t="s">
        <v>64</v>
      </c>
      <c r="EA2" s="3">
        <v>-1.137E-2</v>
      </c>
      <c r="EB2" s="3">
        <v>7.7060000000000003E-2</v>
      </c>
      <c r="EC2" t="s">
        <v>63</v>
      </c>
      <c r="EE2" s="3">
        <v>3.1150000000000001E-3</v>
      </c>
      <c r="EF2" s="3">
        <v>9.3670000000000003E-2</v>
      </c>
      <c r="EG2" t="s">
        <v>65</v>
      </c>
      <c r="EI2" s="3">
        <v>-2.5440000000000001E-2</v>
      </c>
      <c r="EJ2" s="3">
        <v>8.9889999999999998E-2</v>
      </c>
      <c r="EK2" t="s">
        <v>63</v>
      </c>
      <c r="EM2" s="3">
        <v>5.2859999999999997E-2</v>
      </c>
      <c r="EN2" s="3">
        <v>2.4400000000000002E-2</v>
      </c>
      <c r="EO2" t="s">
        <v>64</v>
      </c>
      <c r="EQ2" s="3">
        <v>0.58169999999999999</v>
      </c>
      <c r="ER2" s="3">
        <v>0.53659999999999997</v>
      </c>
      <c r="ES2" t="s">
        <v>64</v>
      </c>
      <c r="EU2" s="3">
        <v>2.461E-2</v>
      </c>
      <c r="EV2" s="3">
        <v>2.1669999999999998E-2</v>
      </c>
      <c r="EW2" t="s">
        <v>64</v>
      </c>
      <c r="EY2" s="3">
        <v>2.4379999999999999E-2</v>
      </c>
      <c r="EZ2" s="3">
        <v>0.1171</v>
      </c>
      <c r="FA2" t="s">
        <v>64</v>
      </c>
      <c r="FC2" s="3">
        <v>3.32E-2</v>
      </c>
      <c r="FD2" s="3">
        <v>1.0070000000000001E-2</v>
      </c>
      <c r="FE2" t="s">
        <v>67</v>
      </c>
      <c r="FG2" s="3">
        <v>3.32E-2</v>
      </c>
      <c r="FH2" s="3">
        <v>1.0070000000000001E-2</v>
      </c>
      <c r="FI2" t="s">
        <v>67</v>
      </c>
      <c r="FK2" s="3">
        <v>4.4900000000000002E-2</v>
      </c>
      <c r="FL2" s="3">
        <v>5.6430000000000001E-2</v>
      </c>
      <c r="FM2" t="s">
        <v>64</v>
      </c>
      <c r="FO2" s="3">
        <v>0.14660000000000001</v>
      </c>
      <c r="FP2" s="3">
        <v>0.12609999999999999</v>
      </c>
      <c r="FQ2" t="s">
        <v>64</v>
      </c>
      <c r="FS2" s="3">
        <v>1.2319999999999999E-2</v>
      </c>
      <c r="FT2" s="3">
        <v>0.17949999999999999</v>
      </c>
      <c r="FU2" t="s">
        <v>64</v>
      </c>
      <c r="FW2" s="3">
        <v>5.7849999999999999E-2</v>
      </c>
      <c r="FX2" s="3">
        <v>5.6980000000000003E-2</v>
      </c>
      <c r="FY2" t="s">
        <v>64</v>
      </c>
      <c r="GA2" s="3">
        <v>0.1363</v>
      </c>
      <c r="GB2" s="3">
        <v>4.7629999999999999E-2</v>
      </c>
      <c r="GC2" t="s">
        <v>67</v>
      </c>
      <c r="GE2" s="3">
        <v>0.14199999999999999</v>
      </c>
      <c r="GF2" s="3">
        <v>7.3419999999999999E-2</v>
      </c>
      <c r="GG2" t="s">
        <v>64</v>
      </c>
      <c r="GI2" s="3">
        <v>0.16470000000000001</v>
      </c>
      <c r="GJ2" s="3">
        <v>0.12509999999999999</v>
      </c>
      <c r="GK2" t="s">
        <v>64</v>
      </c>
      <c r="GM2" t="s">
        <v>59</v>
      </c>
      <c r="GQ2" t="s">
        <v>59</v>
      </c>
      <c r="GU2" s="3">
        <v>-4.326E-2</v>
      </c>
      <c r="GV2" s="3">
        <v>8.0399999999999999E-2</v>
      </c>
      <c r="GW2" t="s">
        <v>63</v>
      </c>
      <c r="GY2" s="3">
        <v>6.2190000000000002E-2</v>
      </c>
      <c r="GZ2" s="3">
        <v>4.9169999999999998E-2</v>
      </c>
      <c r="HA2" t="s">
        <v>64</v>
      </c>
      <c r="HC2" s="3">
        <v>8.4650000000000003E-2</v>
      </c>
      <c r="HD2" s="3">
        <v>4.7140000000000001E-2</v>
      </c>
      <c r="HE2" t="s">
        <v>64</v>
      </c>
      <c r="HG2" s="3">
        <v>0.1048</v>
      </c>
      <c r="HH2" s="3">
        <v>3.7510000000000002E-2</v>
      </c>
      <c r="HI2" t="s">
        <v>64</v>
      </c>
      <c r="HK2" s="3">
        <v>9.6589999999999995E-2</v>
      </c>
      <c r="HL2" s="3">
        <v>3.0769999999999999E-2</v>
      </c>
      <c r="HM2" t="s">
        <v>64</v>
      </c>
      <c r="HO2" s="3">
        <v>0.1007</v>
      </c>
      <c r="HP2" s="3">
        <v>2.4639999999999999E-2</v>
      </c>
      <c r="HQ2" t="s">
        <v>67</v>
      </c>
      <c r="HS2" s="3">
        <v>7.0599999999999996E-2</v>
      </c>
      <c r="HT2" s="3">
        <v>1.5910000000000001E-2</v>
      </c>
      <c r="HU2" t="s">
        <v>68</v>
      </c>
      <c r="HW2" s="3">
        <v>4.4499999999999998E-2</v>
      </c>
      <c r="HX2" s="3">
        <v>1.8970000000000001E-2</v>
      </c>
      <c r="HY2" t="s">
        <v>68</v>
      </c>
      <c r="IA2" s="3">
        <v>6.6159999999999997E-2</v>
      </c>
      <c r="IB2" s="3">
        <v>3.2680000000000001E-2</v>
      </c>
      <c r="IC2" t="s">
        <v>64</v>
      </c>
      <c r="IE2" s="3">
        <v>6.6519999999999996E-2</v>
      </c>
      <c r="IF2" s="3">
        <v>2.5090000000000001E-2</v>
      </c>
      <c r="IG2" t="s">
        <v>68</v>
      </c>
    </row>
    <row r="3" spans="1:242" x14ac:dyDescent="0.3">
      <c r="A3" t="s">
        <v>54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50</v>
      </c>
      <c r="H3" t="s">
        <v>51</v>
      </c>
      <c r="I3" t="s">
        <v>6</v>
      </c>
      <c r="J3" t="s">
        <v>7</v>
      </c>
      <c r="K3" t="s">
        <v>8</v>
      </c>
      <c r="L3" t="s">
        <v>9</v>
      </c>
      <c r="M3" t="s">
        <v>42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41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43</v>
      </c>
      <c r="AE3" t="s">
        <v>44</v>
      </c>
      <c r="AF3" t="s">
        <v>45</v>
      </c>
      <c r="AG3" t="s">
        <v>46</v>
      </c>
      <c r="AH3" t="s">
        <v>47</v>
      </c>
      <c r="AI3" t="s">
        <v>48</v>
      </c>
      <c r="AJ3" t="s">
        <v>49</v>
      </c>
      <c r="AK3" t="s">
        <v>27</v>
      </c>
      <c r="AL3" t="s">
        <v>28</v>
      </c>
      <c r="AM3" t="s">
        <v>29</v>
      </c>
      <c r="AN3" t="s">
        <v>30</v>
      </c>
      <c r="AO3" t="s">
        <v>31</v>
      </c>
      <c r="AP3" t="s">
        <v>32</v>
      </c>
      <c r="AQ3" t="s">
        <v>33</v>
      </c>
      <c r="AR3" t="s">
        <v>34</v>
      </c>
      <c r="AS3" t="s">
        <v>35</v>
      </c>
      <c r="AT3" t="s">
        <v>36</v>
      </c>
      <c r="AU3" t="s">
        <v>37</v>
      </c>
      <c r="AV3" t="s">
        <v>38</v>
      </c>
      <c r="AW3" t="s">
        <v>39</v>
      </c>
      <c r="AY3" t="s">
        <v>1</v>
      </c>
      <c r="BC3" t="s">
        <v>2</v>
      </c>
      <c r="BG3" t="s">
        <v>3</v>
      </c>
      <c r="BK3" t="s">
        <v>4</v>
      </c>
      <c r="BO3" t="s">
        <v>5</v>
      </c>
      <c r="BS3" t="s">
        <v>50</v>
      </c>
      <c r="BW3" t="s">
        <v>51</v>
      </c>
      <c r="CA3" t="s">
        <v>6</v>
      </c>
      <c r="CE3" t="s">
        <v>7</v>
      </c>
      <c r="CI3" t="s">
        <v>8</v>
      </c>
      <c r="CM3" t="s">
        <v>9</v>
      </c>
      <c r="CQ3" t="s">
        <v>42</v>
      </c>
      <c r="CU3" t="s">
        <v>11</v>
      </c>
      <c r="CY3" t="s">
        <v>12</v>
      </c>
      <c r="DC3" t="s">
        <v>13</v>
      </c>
      <c r="DG3" t="s">
        <v>14</v>
      </c>
      <c r="DK3" t="s">
        <v>15</v>
      </c>
      <c r="DO3" t="s">
        <v>16</v>
      </c>
      <c r="DS3" t="s">
        <v>41</v>
      </c>
      <c r="DW3" t="s">
        <v>18</v>
      </c>
      <c r="EA3" t="s">
        <v>19</v>
      </c>
      <c r="EE3" t="s">
        <v>20</v>
      </c>
      <c r="EI3" t="s">
        <v>21</v>
      </c>
      <c r="EM3" t="s">
        <v>22</v>
      </c>
      <c r="EQ3" t="s">
        <v>23</v>
      </c>
      <c r="EU3" t="s">
        <v>24</v>
      </c>
      <c r="EY3" t="s">
        <v>25</v>
      </c>
      <c r="FC3" t="s">
        <v>26</v>
      </c>
      <c r="FG3" t="s">
        <v>43</v>
      </c>
      <c r="FK3" t="s">
        <v>44</v>
      </c>
      <c r="FO3" t="s">
        <v>45</v>
      </c>
      <c r="FS3" t="s">
        <v>46</v>
      </c>
      <c r="FW3" t="s">
        <v>47</v>
      </c>
      <c r="GA3" t="s">
        <v>48</v>
      </c>
      <c r="GE3" t="s">
        <v>49</v>
      </c>
      <c r="GI3" t="s">
        <v>27</v>
      </c>
      <c r="GM3" t="s">
        <v>28</v>
      </c>
      <c r="GQ3" t="s">
        <v>29</v>
      </c>
      <c r="GU3" t="s">
        <v>30</v>
      </c>
      <c r="GY3" t="s">
        <v>31</v>
      </c>
      <c r="HC3" t="s">
        <v>32</v>
      </c>
      <c r="HG3" t="s">
        <v>33</v>
      </c>
      <c r="HK3" t="s">
        <v>34</v>
      </c>
      <c r="HO3" t="s">
        <v>35</v>
      </c>
      <c r="HS3" t="s">
        <v>36</v>
      </c>
      <c r="HW3" t="s">
        <v>37</v>
      </c>
      <c r="IA3" t="s">
        <v>38</v>
      </c>
      <c r="IE3" t="s">
        <v>39</v>
      </c>
    </row>
    <row r="4" spans="1:242" x14ac:dyDescent="0.3">
      <c r="A4" t="s">
        <v>0</v>
      </c>
      <c r="AY4" t="s">
        <v>55</v>
      </c>
      <c r="AZ4" t="s">
        <v>56</v>
      </c>
      <c r="BA4" t="s">
        <v>57</v>
      </c>
      <c r="BB4" t="s">
        <v>58</v>
      </c>
      <c r="BC4" t="s">
        <v>55</v>
      </c>
      <c r="BD4" t="s">
        <v>56</v>
      </c>
      <c r="BE4" t="s">
        <v>57</v>
      </c>
      <c r="BF4" t="s">
        <v>58</v>
      </c>
      <c r="BG4" t="s">
        <v>55</v>
      </c>
      <c r="BH4" t="s">
        <v>56</v>
      </c>
      <c r="BI4" t="s">
        <v>57</v>
      </c>
      <c r="BJ4" t="s">
        <v>58</v>
      </c>
      <c r="BK4" t="s">
        <v>55</v>
      </c>
      <c r="BL4" t="s">
        <v>56</v>
      </c>
      <c r="BM4" t="s">
        <v>57</v>
      </c>
      <c r="BN4" t="s">
        <v>58</v>
      </c>
      <c r="BO4" t="s">
        <v>55</v>
      </c>
      <c r="BP4" t="s">
        <v>56</v>
      </c>
      <c r="BQ4" t="s">
        <v>57</v>
      </c>
      <c r="BR4" t="s">
        <v>58</v>
      </c>
      <c r="BS4" t="s">
        <v>55</v>
      </c>
      <c r="BT4" t="s">
        <v>56</v>
      </c>
      <c r="BU4" t="s">
        <v>57</v>
      </c>
      <c r="BV4" t="s">
        <v>58</v>
      </c>
      <c r="BW4" t="s">
        <v>55</v>
      </c>
      <c r="BX4" t="s">
        <v>56</v>
      </c>
      <c r="BY4" t="s">
        <v>57</v>
      </c>
      <c r="BZ4" t="s">
        <v>58</v>
      </c>
      <c r="CA4" t="s">
        <v>55</v>
      </c>
      <c r="CB4" t="s">
        <v>56</v>
      </c>
      <c r="CC4" t="s">
        <v>57</v>
      </c>
      <c r="CD4" t="s">
        <v>58</v>
      </c>
      <c r="CE4" t="s">
        <v>55</v>
      </c>
      <c r="CF4" t="s">
        <v>56</v>
      </c>
      <c r="CG4" t="s">
        <v>57</v>
      </c>
      <c r="CH4" t="s">
        <v>58</v>
      </c>
      <c r="CI4" t="s">
        <v>55</v>
      </c>
      <c r="CJ4" t="s">
        <v>56</v>
      </c>
      <c r="CK4" t="s">
        <v>57</v>
      </c>
      <c r="CL4" t="s">
        <v>58</v>
      </c>
      <c r="CM4" t="s">
        <v>55</v>
      </c>
      <c r="CN4" t="s">
        <v>56</v>
      </c>
      <c r="CO4" t="s">
        <v>57</v>
      </c>
      <c r="CP4" t="s">
        <v>58</v>
      </c>
      <c r="CQ4" t="s">
        <v>55</v>
      </c>
      <c r="CR4" t="s">
        <v>56</v>
      </c>
      <c r="CS4" t="s">
        <v>57</v>
      </c>
      <c r="CT4" t="s">
        <v>58</v>
      </c>
      <c r="CU4" t="s">
        <v>55</v>
      </c>
      <c r="CV4" t="s">
        <v>56</v>
      </c>
      <c r="CW4" t="s">
        <v>57</v>
      </c>
      <c r="CX4" t="s">
        <v>58</v>
      </c>
      <c r="CY4" t="s">
        <v>55</v>
      </c>
      <c r="CZ4" t="s">
        <v>56</v>
      </c>
      <c r="DA4" t="s">
        <v>57</v>
      </c>
      <c r="DB4" t="s">
        <v>58</v>
      </c>
      <c r="DC4" t="s">
        <v>55</v>
      </c>
      <c r="DD4" t="s">
        <v>56</v>
      </c>
      <c r="DE4" t="s">
        <v>57</v>
      </c>
      <c r="DF4" t="s">
        <v>58</v>
      </c>
      <c r="DG4" t="s">
        <v>55</v>
      </c>
      <c r="DH4" t="s">
        <v>56</v>
      </c>
      <c r="DI4" t="s">
        <v>57</v>
      </c>
      <c r="DJ4" t="s">
        <v>58</v>
      </c>
      <c r="DK4" t="s">
        <v>55</v>
      </c>
      <c r="DL4" t="s">
        <v>56</v>
      </c>
      <c r="DM4" t="s">
        <v>57</v>
      </c>
      <c r="DN4" t="s">
        <v>58</v>
      </c>
      <c r="DO4" t="s">
        <v>55</v>
      </c>
      <c r="DP4" t="s">
        <v>56</v>
      </c>
      <c r="DQ4" t="s">
        <v>57</v>
      </c>
      <c r="DR4" t="s">
        <v>58</v>
      </c>
      <c r="DS4" t="s">
        <v>55</v>
      </c>
      <c r="DT4" t="s">
        <v>56</v>
      </c>
      <c r="DU4" t="s">
        <v>57</v>
      </c>
      <c r="DV4" t="s">
        <v>58</v>
      </c>
      <c r="DW4" t="s">
        <v>55</v>
      </c>
      <c r="DX4" t="s">
        <v>56</v>
      </c>
      <c r="DY4" t="s">
        <v>57</v>
      </c>
      <c r="DZ4" t="s">
        <v>58</v>
      </c>
      <c r="EA4" t="s">
        <v>55</v>
      </c>
      <c r="EB4" t="s">
        <v>56</v>
      </c>
      <c r="EC4" t="s">
        <v>57</v>
      </c>
      <c r="ED4" t="s">
        <v>58</v>
      </c>
      <c r="EE4" t="s">
        <v>55</v>
      </c>
      <c r="EF4" t="s">
        <v>56</v>
      </c>
      <c r="EG4" t="s">
        <v>57</v>
      </c>
      <c r="EH4" t="s">
        <v>58</v>
      </c>
      <c r="EI4" t="s">
        <v>55</v>
      </c>
      <c r="EJ4" t="s">
        <v>56</v>
      </c>
      <c r="EK4" t="s">
        <v>57</v>
      </c>
      <c r="EL4" t="s">
        <v>58</v>
      </c>
      <c r="EM4" t="s">
        <v>55</v>
      </c>
      <c r="EN4" t="s">
        <v>56</v>
      </c>
      <c r="EO4" t="s">
        <v>57</v>
      </c>
      <c r="EP4" t="s">
        <v>58</v>
      </c>
      <c r="EQ4" t="s">
        <v>55</v>
      </c>
      <c r="ER4" t="s">
        <v>56</v>
      </c>
      <c r="ES4" t="s">
        <v>57</v>
      </c>
      <c r="ET4" t="s">
        <v>58</v>
      </c>
      <c r="EU4" t="s">
        <v>55</v>
      </c>
      <c r="EV4" t="s">
        <v>56</v>
      </c>
      <c r="EW4" t="s">
        <v>57</v>
      </c>
      <c r="EX4" t="s">
        <v>58</v>
      </c>
      <c r="EY4" t="s">
        <v>55</v>
      </c>
      <c r="EZ4" t="s">
        <v>56</v>
      </c>
      <c r="FA4" t="s">
        <v>57</v>
      </c>
      <c r="FB4" t="s">
        <v>58</v>
      </c>
      <c r="FC4" t="s">
        <v>55</v>
      </c>
      <c r="FD4" t="s">
        <v>56</v>
      </c>
      <c r="FE4" t="s">
        <v>57</v>
      </c>
      <c r="FF4" t="s">
        <v>58</v>
      </c>
      <c r="FG4" t="s">
        <v>55</v>
      </c>
      <c r="FH4" t="s">
        <v>56</v>
      </c>
      <c r="FI4" t="s">
        <v>57</v>
      </c>
      <c r="FJ4" t="s">
        <v>58</v>
      </c>
      <c r="FK4" t="s">
        <v>55</v>
      </c>
      <c r="FL4" t="s">
        <v>56</v>
      </c>
      <c r="FM4" t="s">
        <v>57</v>
      </c>
      <c r="FN4" t="s">
        <v>58</v>
      </c>
      <c r="FO4" t="s">
        <v>55</v>
      </c>
      <c r="FP4" t="s">
        <v>56</v>
      </c>
      <c r="FQ4" t="s">
        <v>57</v>
      </c>
      <c r="FR4" t="s">
        <v>58</v>
      </c>
      <c r="FS4" t="s">
        <v>55</v>
      </c>
      <c r="FT4" t="s">
        <v>56</v>
      </c>
      <c r="FU4" t="s">
        <v>57</v>
      </c>
      <c r="FV4" t="s">
        <v>58</v>
      </c>
      <c r="FW4" t="s">
        <v>55</v>
      </c>
      <c r="FX4" t="s">
        <v>56</v>
      </c>
      <c r="FY4" t="s">
        <v>57</v>
      </c>
      <c r="FZ4" t="s">
        <v>58</v>
      </c>
      <c r="GA4" t="s">
        <v>55</v>
      </c>
      <c r="GB4" t="s">
        <v>56</v>
      </c>
      <c r="GC4" t="s">
        <v>57</v>
      </c>
      <c r="GD4" t="s">
        <v>58</v>
      </c>
      <c r="GE4" t="s">
        <v>55</v>
      </c>
      <c r="GF4" t="s">
        <v>56</v>
      </c>
      <c r="GG4" t="s">
        <v>57</v>
      </c>
      <c r="GH4" t="s">
        <v>58</v>
      </c>
      <c r="GI4" t="s">
        <v>55</v>
      </c>
      <c r="GJ4" t="s">
        <v>56</v>
      </c>
      <c r="GK4" t="s">
        <v>57</v>
      </c>
      <c r="GL4" t="s">
        <v>58</v>
      </c>
      <c r="GM4" t="s">
        <v>55</v>
      </c>
      <c r="GN4" t="s">
        <v>56</v>
      </c>
      <c r="GO4" t="s">
        <v>57</v>
      </c>
      <c r="GP4" t="s">
        <v>58</v>
      </c>
      <c r="GQ4" t="s">
        <v>55</v>
      </c>
      <c r="GR4" t="s">
        <v>56</v>
      </c>
      <c r="GS4" t="s">
        <v>57</v>
      </c>
      <c r="GT4" t="s">
        <v>58</v>
      </c>
      <c r="GU4" t="s">
        <v>55</v>
      </c>
      <c r="GV4" t="s">
        <v>56</v>
      </c>
      <c r="GW4" t="s">
        <v>57</v>
      </c>
      <c r="GX4" t="s">
        <v>58</v>
      </c>
      <c r="GY4" t="s">
        <v>55</v>
      </c>
      <c r="GZ4" t="s">
        <v>56</v>
      </c>
      <c r="HA4" t="s">
        <v>57</v>
      </c>
      <c r="HB4" t="s">
        <v>58</v>
      </c>
      <c r="HC4" t="s">
        <v>55</v>
      </c>
      <c r="HD4" t="s">
        <v>56</v>
      </c>
      <c r="HE4" t="s">
        <v>57</v>
      </c>
      <c r="HF4" t="s">
        <v>58</v>
      </c>
      <c r="HG4" t="s">
        <v>55</v>
      </c>
      <c r="HH4" t="s">
        <v>56</v>
      </c>
      <c r="HI4" t="s">
        <v>57</v>
      </c>
      <c r="HJ4" t="s">
        <v>58</v>
      </c>
      <c r="HK4" t="s">
        <v>55</v>
      </c>
      <c r="HL4" t="s">
        <v>56</v>
      </c>
      <c r="HM4" t="s">
        <v>57</v>
      </c>
      <c r="HN4" t="s">
        <v>58</v>
      </c>
      <c r="HO4" t="s">
        <v>55</v>
      </c>
      <c r="HP4" t="s">
        <v>56</v>
      </c>
      <c r="HQ4" t="s">
        <v>57</v>
      </c>
      <c r="HR4" t="s">
        <v>58</v>
      </c>
      <c r="HS4" t="s">
        <v>55</v>
      </c>
      <c r="HT4" t="s">
        <v>56</v>
      </c>
      <c r="HU4" t="s">
        <v>57</v>
      </c>
      <c r="HV4" t="s">
        <v>58</v>
      </c>
      <c r="HW4" t="s">
        <v>55</v>
      </c>
      <c r="HX4" t="s">
        <v>56</v>
      </c>
      <c r="HY4" t="s">
        <v>57</v>
      </c>
      <c r="HZ4" t="s">
        <v>58</v>
      </c>
      <c r="IA4" t="s">
        <v>55</v>
      </c>
      <c r="IB4" t="s">
        <v>56</v>
      </c>
      <c r="IC4" t="s">
        <v>57</v>
      </c>
      <c r="ID4" t="s">
        <v>58</v>
      </c>
      <c r="IE4" t="s">
        <v>55</v>
      </c>
      <c r="IF4" t="s">
        <v>56</v>
      </c>
      <c r="IG4" t="s">
        <v>57</v>
      </c>
      <c r="IH4" t="s">
        <v>58</v>
      </c>
    </row>
    <row r="5" spans="1:242" x14ac:dyDescent="0.3">
      <c r="A5">
        <v>1985</v>
      </c>
      <c r="B5">
        <v>5282</v>
      </c>
      <c r="C5">
        <v>15375</v>
      </c>
      <c r="F5">
        <v>888</v>
      </c>
      <c r="M5">
        <v>72</v>
      </c>
      <c r="U5">
        <v>15663</v>
      </c>
      <c r="V5">
        <v>2556</v>
      </c>
      <c r="W5">
        <v>611</v>
      </c>
      <c r="AC5">
        <v>6887</v>
      </c>
      <c r="AE5">
        <v>144</v>
      </c>
      <c r="AH5">
        <v>39</v>
      </c>
      <c r="AO5">
        <v>32</v>
      </c>
      <c r="AS5">
        <v>40</v>
      </c>
      <c r="AU5">
        <v>120</v>
      </c>
      <c r="AY5">
        <f>LN(B9/B5)</f>
        <v>-3.958427790968324E-2</v>
      </c>
      <c r="AZ5">
        <f>SQRT($A9-$A5)</f>
        <v>2</v>
      </c>
      <c r="BA5" s="1">
        <f>(AY5/AZ5)</f>
        <v>-1.979213895484162E-2</v>
      </c>
      <c r="BB5" s="1">
        <f>EXP(BA5)</f>
        <v>0.98040243960425577</v>
      </c>
      <c r="BC5">
        <f>LN(C7/C5)</f>
        <v>-2.4692612590371522E-2</v>
      </c>
      <c r="BD5">
        <f>SQRT($A7-$A5)</f>
        <v>1.4142135623730951</v>
      </c>
      <c r="BE5" s="1">
        <f>(BC5/BD5)</f>
        <v>-1.7460313807864024E-2</v>
      </c>
      <c r="BF5" s="1">
        <f>EXP(BE5)</f>
        <v>0.98269123416434645</v>
      </c>
      <c r="BO5">
        <f>LN(F7/F5)</f>
        <v>-0.70219701607986329</v>
      </c>
      <c r="BP5">
        <f>SQRT($A7-$A5)</f>
        <v>1.4142135623730951</v>
      </c>
      <c r="BQ5" s="1">
        <f>(BO5/BP5)</f>
        <v>-0.49652827179903047</v>
      </c>
      <c r="BR5" s="1">
        <f>EXP(BQ5)</f>
        <v>0.60864002876806156</v>
      </c>
      <c r="CQ5">
        <f>LN(M6/M5)</f>
        <v>0.63598876671999671</v>
      </c>
      <c r="CR5">
        <f>SQRT($A6-$A5)</f>
        <v>1</v>
      </c>
      <c r="CS5" s="1">
        <f>(CQ5/CR5)</f>
        <v>0.63598876671999671</v>
      </c>
      <c r="CT5" s="1">
        <f>EXP(CS5)</f>
        <v>1.8888888888888888</v>
      </c>
      <c r="DW5">
        <f t="shared" ref="DW5:DW18" si="0">LN(U6/U5)</f>
        <v>6.5184740180439404E-2</v>
      </c>
      <c r="DX5">
        <f t="shared" ref="DX5:DX18" si="1">SQRT($A6-$A5)</f>
        <v>1</v>
      </c>
      <c r="DY5" s="1">
        <f>(DW5/DX5)</f>
        <v>6.5184740180439404E-2</v>
      </c>
      <c r="DZ5" s="1">
        <f>EXP(DY5)</f>
        <v>1.0673561897465365</v>
      </c>
      <c r="EA5">
        <f>LN(V7/V5)</f>
        <v>-0.48928057314140455</v>
      </c>
      <c r="EB5">
        <f>SQRT($A7-$A5)</f>
        <v>1.4142135623730951</v>
      </c>
      <c r="EC5" s="1">
        <f>(EA5/EB5)</f>
        <v>-0.34597361117112768</v>
      </c>
      <c r="ED5" s="1">
        <f>EXP(EC5)</f>
        <v>0.70753115777879649</v>
      </c>
      <c r="EE5">
        <f>LN(W6/W5)</f>
        <v>0.79053821723876871</v>
      </c>
      <c r="EF5">
        <f>SQRT($A6-$A5)</f>
        <v>1</v>
      </c>
      <c r="EG5" s="1">
        <f>(EE5/EF5)</f>
        <v>0.79053821723876871</v>
      </c>
      <c r="EH5" s="1">
        <f>EXP(EG5)</f>
        <v>2.2045826513911622</v>
      </c>
      <c r="FC5">
        <f t="shared" ref="FC5:FC31" si="2">LN(AC6/AC5)</f>
        <v>0.10074701482808984</v>
      </c>
      <c r="FD5">
        <f t="shared" ref="FD5:FD31" si="3">SQRT($A6-$A5)</f>
        <v>1</v>
      </c>
      <c r="FE5" s="1">
        <f>(FC5/FD5)</f>
        <v>0.10074701482808984</v>
      </c>
      <c r="FF5" s="1">
        <f>EXP(FE5)</f>
        <v>1.1059968055757223</v>
      </c>
      <c r="FK5">
        <f>LN(AE8/AE5)</f>
        <v>0.62117368093485603</v>
      </c>
      <c r="FL5">
        <f>SQRT($A8-$A5)</f>
        <v>1.7320508075688772</v>
      </c>
      <c r="FM5" s="1">
        <f>(FK5/FL5)</f>
        <v>0.35863479190124986</v>
      </c>
      <c r="FN5" s="1">
        <f>EXP(FM5)</f>
        <v>1.4313739567425445</v>
      </c>
      <c r="GY5">
        <f>LN(AO6/AO5)</f>
        <v>8.9612158689687138E-2</v>
      </c>
      <c r="GZ5">
        <f>SQRT($A6-$A5)</f>
        <v>1</v>
      </c>
      <c r="HA5" s="1">
        <f>(GY5/GZ5)</f>
        <v>8.9612158689687138E-2</v>
      </c>
      <c r="HB5" s="1">
        <f>EXP(HA5)</f>
        <v>1.09375</v>
      </c>
      <c r="HO5">
        <f>LN(AS6/AS5)</f>
        <v>0.11778303565638346</v>
      </c>
      <c r="HP5">
        <f>SQRT($A6-$A5)</f>
        <v>1</v>
      </c>
      <c r="HQ5" s="1">
        <f t="shared" ref="HQ5" si="4">(HO5/HP5)</f>
        <v>0.11778303565638346</v>
      </c>
      <c r="HR5" s="1">
        <f t="shared" ref="HR5:HR10" si="5">EXP(HQ5)</f>
        <v>1.125</v>
      </c>
      <c r="HW5">
        <f t="shared" ref="HW5:HW16" si="6">LN(AU6/AU5)</f>
        <v>-1.6807118316381289E-2</v>
      </c>
      <c r="HX5">
        <f t="shared" ref="HX5:HX19" si="7">SQRT($A6-$A5)</f>
        <v>1</v>
      </c>
      <c r="HY5" s="1">
        <f t="shared" ref="HY5:HY16" si="8">(HW5/HX5)</f>
        <v>-1.6807118316381289E-2</v>
      </c>
      <c r="HZ5" s="1">
        <f t="shared" ref="HZ5:HZ16" si="9">EXP(HY5)</f>
        <v>0.98333333333333328</v>
      </c>
    </row>
    <row r="6" spans="1:242" x14ac:dyDescent="0.3">
      <c r="A6">
        <v>1986</v>
      </c>
      <c r="M6">
        <v>136</v>
      </c>
      <c r="U6">
        <v>16718</v>
      </c>
      <c r="W6">
        <v>1347</v>
      </c>
      <c r="AA6">
        <v>4451</v>
      </c>
      <c r="AC6">
        <v>7617</v>
      </c>
      <c r="AH6">
        <v>89</v>
      </c>
      <c r="AO6">
        <v>35</v>
      </c>
      <c r="AS6">
        <v>45</v>
      </c>
      <c r="AU6">
        <v>118</v>
      </c>
      <c r="CQ6">
        <f>LN(M8/M6)</f>
        <v>0.21724382918702148</v>
      </c>
      <c r="CR6">
        <f>SQRT($A8-$A6)</f>
        <v>1.4142135623730951</v>
      </c>
      <c r="CS6" s="1">
        <f>(CQ6/CR6)</f>
        <v>0.15361458478907489</v>
      </c>
      <c r="CT6" s="1">
        <f>EXP(CS6)</f>
        <v>1.1660413900742672</v>
      </c>
      <c r="DW6">
        <f t="shared" si="0"/>
        <v>0.14175208584944618</v>
      </c>
      <c r="DX6">
        <f t="shared" si="1"/>
        <v>1</v>
      </c>
      <c r="DY6" s="1">
        <f t="shared" ref="DY6:DY21" si="10">(DW6/DX6)</f>
        <v>0.14175208584944618</v>
      </c>
      <c r="DZ6" s="1">
        <f t="shared" ref="DZ6:DZ21" si="11">EXP(DY6)</f>
        <v>1.1522909438928102</v>
      </c>
      <c r="EE6">
        <f>LN(W7/W6)</f>
        <v>-0.76468863577744328</v>
      </c>
      <c r="EF6">
        <f>SQRT($A7-$A6)</f>
        <v>1</v>
      </c>
      <c r="EG6" s="1">
        <f>(EE6/EF6)</f>
        <v>-0.76468863577744328</v>
      </c>
      <c r="EH6" s="1">
        <f>EXP(EG6)</f>
        <v>0.46547884187082406</v>
      </c>
      <c r="EU6">
        <f>LN(AA7/AA6)</f>
        <v>-0.15760154596747983</v>
      </c>
      <c r="EV6">
        <f>SQRT($A7-$A6)</f>
        <v>1</v>
      </c>
      <c r="EW6" s="1">
        <f>(EU6/EV6)</f>
        <v>-0.15760154596747983</v>
      </c>
      <c r="EX6" s="1">
        <f>EXP(EW6)</f>
        <v>0.85419006964727029</v>
      </c>
      <c r="FC6">
        <f t="shared" si="2"/>
        <v>-9.9151076876001928E-2</v>
      </c>
      <c r="FD6">
        <f t="shared" si="3"/>
        <v>1</v>
      </c>
      <c r="FE6" s="1">
        <f>(FC6/FD6)</f>
        <v>-9.9151076876001928E-2</v>
      </c>
      <c r="FF6" s="1">
        <f>EXP(FE6)</f>
        <v>0.90560588158067479</v>
      </c>
      <c r="GY6">
        <f t="shared" ref="GY6:GY9" si="12">LN(AO7/AO6)</f>
        <v>0.15822400521489419</v>
      </c>
      <c r="GZ6">
        <f>SQRT($A7-$A6)</f>
        <v>1</v>
      </c>
      <c r="HA6" s="1">
        <f t="shared" ref="HA6:HA10" si="13">(GY6/GZ6)</f>
        <v>0.15822400521489419</v>
      </c>
      <c r="HB6" s="1">
        <f t="shared" ref="HB6:HB17" si="14">EXP(HA6)</f>
        <v>1.1714285714285715</v>
      </c>
      <c r="HO6">
        <f t="shared" ref="HO6:HO9" si="15">LN(AS7/AS6)</f>
        <v>0.33647223662121289</v>
      </c>
      <c r="HP6">
        <f>SQRT($A7-$A6)</f>
        <v>1</v>
      </c>
      <c r="HQ6" s="1">
        <f t="shared" ref="HQ6:HQ10" si="16">(HO6/HP6)</f>
        <v>0.33647223662121289</v>
      </c>
      <c r="HR6" s="1">
        <f t="shared" si="5"/>
        <v>1.4</v>
      </c>
      <c r="HW6">
        <f t="shared" si="6"/>
        <v>2.5105921131076261E-2</v>
      </c>
      <c r="HX6">
        <f t="shared" si="7"/>
        <v>1</v>
      </c>
      <c r="HY6" s="1">
        <f t="shared" si="8"/>
        <v>2.5105921131076261E-2</v>
      </c>
      <c r="HZ6" s="1">
        <f t="shared" si="9"/>
        <v>1.0254237288135593</v>
      </c>
    </row>
    <row r="7" spans="1:242" x14ac:dyDescent="0.3">
      <c r="A7">
        <v>1987</v>
      </c>
      <c r="C7">
        <v>15000</v>
      </c>
      <c r="F7">
        <v>440</v>
      </c>
      <c r="U7">
        <v>19264</v>
      </c>
      <c r="V7">
        <v>1567</v>
      </c>
      <c r="W7">
        <v>627</v>
      </c>
      <c r="AA7">
        <v>3802</v>
      </c>
      <c r="AC7">
        <v>6898</v>
      </c>
      <c r="AN7">
        <v>1000</v>
      </c>
      <c r="AO7">
        <v>41</v>
      </c>
      <c r="AS7">
        <v>63</v>
      </c>
      <c r="AU7">
        <v>121</v>
      </c>
      <c r="BC7">
        <f>LN(C8/C7)</f>
        <v>-1.8325814637483102</v>
      </c>
      <c r="BD7">
        <f>SQRT($A8-$A7)</f>
        <v>1</v>
      </c>
      <c r="BE7" s="1">
        <f>(BC7/BD7)</f>
        <v>-1.8325814637483102</v>
      </c>
      <c r="BF7" s="1">
        <f>EXP(BE7)</f>
        <v>0.15999999999999998</v>
      </c>
      <c r="BO7">
        <f>LN(F12/F7)</f>
        <v>0.42348361361084275</v>
      </c>
      <c r="BP7">
        <f>SQRT($A12-$A7)</f>
        <v>2.2360679774997898</v>
      </c>
      <c r="BQ7" s="1">
        <f>(BO7/BP7)</f>
        <v>0.18938762947821991</v>
      </c>
      <c r="BR7" s="1">
        <f>EXP(BQ7)</f>
        <v>1.2085093155367796</v>
      </c>
      <c r="DW7">
        <f t="shared" si="0"/>
        <v>0.11399217540030553</v>
      </c>
      <c r="DX7">
        <f t="shared" si="1"/>
        <v>1</v>
      </c>
      <c r="DY7" s="1">
        <f t="shared" si="10"/>
        <v>0.11399217540030553</v>
      </c>
      <c r="DZ7" s="1">
        <f t="shared" si="11"/>
        <v>1.1207433554817277</v>
      </c>
      <c r="EA7">
        <f>LN(V8/V7)</f>
        <v>0.24348409214437924</v>
      </c>
      <c r="EB7">
        <f>SQRT($A8-$A7)</f>
        <v>1</v>
      </c>
      <c r="EC7" s="1">
        <f>(EA7/EB7)</f>
        <v>0.24348409214437924</v>
      </c>
      <c r="ED7" s="1">
        <f>EXP(EC7)</f>
        <v>1.2756860242501595</v>
      </c>
      <c r="EE7">
        <f>LN(W9/W7)</f>
        <v>0.88749081226224125</v>
      </c>
      <c r="EF7">
        <f>SQRT($A9-$A7)</f>
        <v>1.4142135623730951</v>
      </c>
      <c r="EG7" s="1">
        <f>(EE7/EF7)</f>
        <v>0.62755077159138795</v>
      </c>
      <c r="EH7" s="1">
        <f>EXP(EG7)</f>
        <v>1.8730175091282733</v>
      </c>
      <c r="EU7">
        <f>LN(AA9/AA7)</f>
        <v>0.32953457211585996</v>
      </c>
      <c r="EV7">
        <f>SQRT($A9-$A7)</f>
        <v>1.4142135623730951</v>
      </c>
      <c r="EW7" s="1">
        <f>(EU7/EV7)</f>
        <v>0.23301613057853193</v>
      </c>
      <c r="EX7" s="1">
        <f>EXP(EW7)</f>
        <v>1.2624018424350849</v>
      </c>
      <c r="FC7">
        <f t="shared" si="2"/>
        <v>6.2652138803540106E-2</v>
      </c>
      <c r="FD7">
        <f t="shared" si="3"/>
        <v>1</v>
      </c>
      <c r="FE7" s="1">
        <f t="shared" ref="FE7:FE32" si="17">(FC7/FD7)</f>
        <v>6.2652138803540106E-2</v>
      </c>
      <c r="FF7" s="1">
        <f t="shared" ref="FF7:FF32" si="18">EXP(FE7)</f>
        <v>1.0646564221513481</v>
      </c>
      <c r="GU7">
        <f>LN(AN15/AN7)</f>
        <v>-1.8971199848858813</v>
      </c>
      <c r="GV7">
        <f>SQRT($A15-$A7)</f>
        <v>2.8284271247461903</v>
      </c>
      <c r="GW7" s="1">
        <f>(GU7/GV7)</f>
        <v>-0.67073320301866357</v>
      </c>
      <c r="GX7" s="1">
        <f>EXP(GW7)</f>
        <v>0.51133352902287799</v>
      </c>
      <c r="GY7">
        <f t="shared" si="12"/>
        <v>0.31177962403084153</v>
      </c>
      <c r="GZ7">
        <f>SQRT($A8-$A7)</f>
        <v>1</v>
      </c>
      <c r="HA7" s="1">
        <f t="shared" si="13"/>
        <v>0.31177962403084153</v>
      </c>
      <c r="HB7" s="1">
        <f t="shared" si="14"/>
        <v>1.3658536585365855</v>
      </c>
      <c r="HO7">
        <f t="shared" si="15"/>
        <v>0.37865385065750756</v>
      </c>
      <c r="HP7">
        <f>SQRT($A8-$A7)</f>
        <v>1</v>
      </c>
      <c r="HQ7" s="1">
        <f t="shared" si="16"/>
        <v>0.37865385065750756</v>
      </c>
      <c r="HR7" s="1">
        <f t="shared" si="5"/>
        <v>1.4603174603174602</v>
      </c>
      <c r="HW7">
        <f t="shared" si="6"/>
        <v>0.14585187701256314</v>
      </c>
      <c r="HX7">
        <f t="shared" si="7"/>
        <v>1</v>
      </c>
      <c r="HY7" s="1">
        <f t="shared" si="8"/>
        <v>0.14585187701256314</v>
      </c>
      <c r="HZ7" s="1">
        <f t="shared" si="9"/>
        <v>1.1570247933884297</v>
      </c>
    </row>
    <row r="8" spans="1:242" x14ac:dyDescent="0.3">
      <c r="A8">
        <v>1988</v>
      </c>
      <c r="C8">
        <v>2400</v>
      </c>
      <c r="M8">
        <v>169</v>
      </c>
      <c r="U8">
        <v>21590</v>
      </c>
      <c r="V8">
        <v>1999</v>
      </c>
      <c r="AC8">
        <v>7344</v>
      </c>
      <c r="AE8">
        <v>268</v>
      </c>
      <c r="AH8">
        <v>129</v>
      </c>
      <c r="AO8">
        <v>56</v>
      </c>
      <c r="AS8">
        <v>92</v>
      </c>
      <c r="AU8">
        <v>140</v>
      </c>
      <c r="BC8">
        <f>LN(C9/C8)</f>
        <v>0.81093021621632877</v>
      </c>
      <c r="BD8">
        <f>SQRT($A9-$A8)</f>
        <v>1</v>
      </c>
      <c r="BE8" s="1">
        <f>(BC8/BD8)</f>
        <v>0.81093021621632877</v>
      </c>
      <c r="BF8" s="1">
        <f>EXP(BE8)</f>
        <v>2.25</v>
      </c>
      <c r="CQ8">
        <f>LN(M9/M8)</f>
        <v>5.7487090917681602E-2</v>
      </c>
      <c r="CR8">
        <f>SQRT($A9-$A8)</f>
        <v>1</v>
      </c>
      <c r="CS8" s="1">
        <f>(CQ8/CR8)</f>
        <v>5.7487090917681602E-2</v>
      </c>
      <c r="CT8" s="1">
        <f>EXP(CS8)</f>
        <v>1.0591715976331362</v>
      </c>
      <c r="DW8">
        <f t="shared" si="0"/>
        <v>8.4472259910194414E-2</v>
      </c>
      <c r="DX8">
        <f t="shared" si="1"/>
        <v>1</v>
      </c>
      <c r="DY8" s="1">
        <f t="shared" si="10"/>
        <v>8.4472259910194414E-2</v>
      </c>
      <c r="DZ8" s="1">
        <f t="shared" si="11"/>
        <v>1.0881426586382585</v>
      </c>
      <c r="EA8">
        <f>LN(V9/V8)</f>
        <v>0.81697052163362638</v>
      </c>
      <c r="EB8">
        <f>SQRT($A9-$A8)</f>
        <v>1</v>
      </c>
      <c r="EC8" s="1">
        <f>(EA8/EB8)</f>
        <v>0.81697052163362638</v>
      </c>
      <c r="ED8" s="1">
        <f>EXP(EC8)</f>
        <v>2.2636318159079538</v>
      </c>
      <c r="FC8">
        <f t="shared" si="2"/>
        <v>1.6743572361286926E-2</v>
      </c>
      <c r="FD8">
        <f t="shared" si="3"/>
        <v>1</v>
      </c>
      <c r="FE8" s="1">
        <f t="shared" si="17"/>
        <v>1.6743572361286926E-2</v>
      </c>
      <c r="FF8" s="1">
        <f t="shared" si="18"/>
        <v>1.016884531590414</v>
      </c>
      <c r="FK8">
        <f>LN(AE9/AE8)</f>
        <v>0.38789878439026515</v>
      </c>
      <c r="FL8">
        <f>SQRT($A9-$A8)</f>
        <v>1</v>
      </c>
      <c r="FM8" s="1">
        <f>(FK8/FL8)</f>
        <v>0.38789878439026515</v>
      </c>
      <c r="FN8" s="1">
        <f>EXP(FM8)</f>
        <v>1.4738805970149254</v>
      </c>
      <c r="GY8">
        <f t="shared" si="12"/>
        <v>-3.6367644170874833E-2</v>
      </c>
      <c r="GZ8">
        <f>SQRT($A9-$A8)</f>
        <v>1</v>
      </c>
      <c r="HA8" s="1">
        <f t="shared" si="13"/>
        <v>-3.6367644170874833E-2</v>
      </c>
      <c r="HB8" s="1">
        <f t="shared" si="14"/>
        <v>0.9642857142857143</v>
      </c>
      <c r="HO8">
        <f t="shared" si="15"/>
        <v>0.32239850940955089</v>
      </c>
      <c r="HP8">
        <f>SQRT($A9-$A8)</f>
        <v>1</v>
      </c>
      <c r="HQ8" s="1">
        <f t="shared" si="16"/>
        <v>0.32239850940955089</v>
      </c>
      <c r="HR8" s="1">
        <f t="shared" si="5"/>
        <v>1.3804347826086956</v>
      </c>
      <c r="HW8">
        <f t="shared" si="6"/>
        <v>7.5637414205619979E-2</v>
      </c>
      <c r="HX8">
        <f t="shared" si="7"/>
        <v>1</v>
      </c>
      <c r="HY8" s="1">
        <f t="shared" si="8"/>
        <v>7.5637414205619979E-2</v>
      </c>
      <c r="HZ8" s="1">
        <f t="shared" si="9"/>
        <v>1.0785714285714285</v>
      </c>
    </row>
    <row r="9" spans="1:242" x14ac:dyDescent="0.3">
      <c r="A9">
        <v>1989</v>
      </c>
      <c r="B9">
        <v>5077</v>
      </c>
      <c r="C9">
        <v>5400</v>
      </c>
      <c r="K9">
        <v>593</v>
      </c>
      <c r="M9">
        <v>179</v>
      </c>
      <c r="Q9">
        <v>30810</v>
      </c>
      <c r="U9">
        <v>23493</v>
      </c>
      <c r="V9">
        <v>4525</v>
      </c>
      <c r="W9">
        <v>1523</v>
      </c>
      <c r="AA9">
        <v>5286</v>
      </c>
      <c r="AC9">
        <v>7468</v>
      </c>
      <c r="AE9">
        <v>395</v>
      </c>
      <c r="AH9">
        <v>153</v>
      </c>
      <c r="AO9">
        <v>54</v>
      </c>
      <c r="AS9">
        <v>127</v>
      </c>
      <c r="AU9">
        <v>151</v>
      </c>
      <c r="AV9">
        <v>48</v>
      </c>
      <c r="AY9">
        <f>LN(B13/B9)</f>
        <v>-0.88278319123587989</v>
      </c>
      <c r="AZ9">
        <f>SQRT($A13-$A9)</f>
        <v>2</v>
      </c>
      <c r="BA9" s="1">
        <f>(AY9/AZ9)</f>
        <v>-0.44139159561793995</v>
      </c>
      <c r="BB9" s="1">
        <f>EXP(BA9)</f>
        <v>0.64314080613322089</v>
      </c>
      <c r="BC9">
        <f>LN(C10/C9)</f>
        <v>1.8349138668196617E-2</v>
      </c>
      <c r="BD9">
        <f>SQRT($A10-$A9)</f>
        <v>1</v>
      </c>
      <c r="BE9" s="1">
        <f>(BC9/BD9)</f>
        <v>1.8349138668196617E-2</v>
      </c>
      <c r="BF9" s="1">
        <f>EXP(BE9)</f>
        <v>1.0185185185185186</v>
      </c>
      <c r="CI9">
        <f>LN(K18/K9)</f>
        <v>1.3218682563727475</v>
      </c>
      <c r="CJ9">
        <f>SQRT($A18-$A9)</f>
        <v>3</v>
      </c>
      <c r="CK9" s="1">
        <f>(CI9/CJ9)</f>
        <v>0.44062275212424917</v>
      </c>
      <c r="CL9" s="1">
        <f>EXP(CK9)</f>
        <v>1.5536744713781296</v>
      </c>
      <c r="CQ9">
        <f>LN(M10/M9)</f>
        <v>1.0090583219537657</v>
      </c>
      <c r="CR9">
        <f>SQRT($A10-$A9)</f>
        <v>1</v>
      </c>
      <c r="CS9" s="1">
        <f>(CQ9/CR9)</f>
        <v>1.0090583219537657</v>
      </c>
      <c r="CT9" s="1">
        <f>EXP(CS9)</f>
        <v>2.7430167597765367</v>
      </c>
      <c r="DG9">
        <f>LN(Q12/Q9)</f>
        <v>-0.57597740947428744</v>
      </c>
      <c r="DH9">
        <f>SQRT($A12-$A9)</f>
        <v>1.7320508075688772</v>
      </c>
      <c r="DI9" s="1">
        <f>(DG9/DH9)</f>
        <v>-0.33254071240712318</v>
      </c>
      <c r="DJ9" s="1">
        <f>EXP(DI9)</f>
        <v>0.71709947342397151</v>
      </c>
      <c r="DW9">
        <f t="shared" si="0"/>
        <v>0.20120456112637927</v>
      </c>
      <c r="DX9">
        <f t="shared" si="1"/>
        <v>1</v>
      </c>
      <c r="DY9" s="1">
        <f t="shared" si="10"/>
        <v>0.20120456112637927</v>
      </c>
      <c r="DZ9" s="1">
        <f t="shared" si="11"/>
        <v>1.2228748989060572</v>
      </c>
      <c r="EA9">
        <f>LN(V13/V9)</f>
        <v>-0.59013195438121524</v>
      </c>
      <c r="EB9">
        <f>SQRT($A13-$A9)</f>
        <v>2</v>
      </c>
      <c r="EC9" s="1">
        <f>(EA9/EB9)</f>
        <v>-0.29506597719060762</v>
      </c>
      <c r="ED9" s="1">
        <f>EXP(EC9)</f>
        <v>0.74448246698388321</v>
      </c>
      <c r="EE9">
        <f>LN(W13/W9)</f>
        <v>0.21748079831416109</v>
      </c>
      <c r="EF9">
        <f>SQRT($A13-$A9)</f>
        <v>2</v>
      </c>
      <c r="EG9" s="1">
        <f>(EE9/EF9)</f>
        <v>0.10874039915708054</v>
      </c>
      <c r="EH9" s="1">
        <f>EXP(EG9)</f>
        <v>1.1148728908288994</v>
      </c>
      <c r="EU9">
        <f>LN(AA11/AA9)</f>
        <v>0.19217323500486899</v>
      </c>
      <c r="EV9">
        <f>SQRT($A11-$A9)</f>
        <v>1.4142135623730951</v>
      </c>
      <c r="EW9" s="1">
        <f>(EU9/EV9)</f>
        <v>0.13588699763449885</v>
      </c>
      <c r="EX9" s="1">
        <f>EXP(EW9)</f>
        <v>1.1455524361454106</v>
      </c>
      <c r="FC9">
        <f t="shared" si="2"/>
        <v>-2.4535286991331038E-2</v>
      </c>
      <c r="FD9">
        <f t="shared" si="3"/>
        <v>1</v>
      </c>
      <c r="FE9" s="1">
        <f t="shared" si="17"/>
        <v>-2.4535286991331038E-2</v>
      </c>
      <c r="FF9" s="1">
        <f t="shared" si="18"/>
        <v>0.97576325656132834</v>
      </c>
      <c r="FK9">
        <f>LN(AE16/AE9)</f>
        <v>-0.10676797542570605</v>
      </c>
      <c r="FL9">
        <f>SQRT($A16-$A9)</f>
        <v>2.6457513110645907</v>
      </c>
      <c r="FM9" s="1">
        <f>(FK9/FL9)</f>
        <v>-4.0354501566039112E-2</v>
      </c>
      <c r="FN9" s="1">
        <f>EXP(FM9)</f>
        <v>0.96044889815623447</v>
      </c>
      <c r="GY9">
        <f t="shared" si="12"/>
        <v>-0.11778303565638351</v>
      </c>
      <c r="GZ9">
        <f>SQRT($A10-$A9)</f>
        <v>1</v>
      </c>
      <c r="HA9" s="1">
        <f t="shared" si="13"/>
        <v>-0.11778303565638351</v>
      </c>
      <c r="HB9" s="1">
        <f t="shared" si="14"/>
        <v>0.88888888888888884</v>
      </c>
      <c r="HO9">
        <f t="shared" si="15"/>
        <v>0.16644820763766438</v>
      </c>
      <c r="HP9">
        <f>SQRT($A10-$A9)</f>
        <v>1</v>
      </c>
      <c r="HQ9" s="1">
        <f t="shared" si="16"/>
        <v>0.16644820763766438</v>
      </c>
      <c r="HR9" s="1">
        <f t="shared" si="5"/>
        <v>1.1811023622047243</v>
      </c>
      <c r="HW9">
        <f t="shared" si="6"/>
        <v>6.4124528169538564E-2</v>
      </c>
      <c r="HX9">
        <f t="shared" si="7"/>
        <v>1</v>
      </c>
      <c r="HY9" s="1">
        <f t="shared" si="8"/>
        <v>6.4124528169538564E-2</v>
      </c>
      <c r="HZ9" s="1">
        <f t="shared" si="9"/>
        <v>1.0662251655629138</v>
      </c>
      <c r="IA9">
        <f>LN(AV13/AV9)</f>
        <v>0.55961578793542266</v>
      </c>
      <c r="IB9">
        <f>SQRT($A13-$A9)</f>
        <v>2</v>
      </c>
      <c r="IC9" s="1">
        <f t="shared" ref="IC9" si="19">(IA9/IB9)</f>
        <v>0.27980789396771133</v>
      </c>
      <c r="ID9" s="1">
        <f t="shared" ref="ID9" si="20">EXP(IC9)</f>
        <v>1.3228756555322954</v>
      </c>
    </row>
    <row r="10" spans="1:242" x14ac:dyDescent="0.3">
      <c r="A10">
        <v>1990</v>
      </c>
      <c r="C10">
        <v>5500</v>
      </c>
      <c r="M10">
        <v>491</v>
      </c>
      <c r="U10">
        <v>28729</v>
      </c>
      <c r="AB10">
        <v>40</v>
      </c>
      <c r="AC10">
        <v>7287</v>
      </c>
      <c r="AD10">
        <v>31</v>
      </c>
      <c r="AH10">
        <v>167</v>
      </c>
      <c r="AI10">
        <v>10</v>
      </c>
      <c r="AJ10">
        <v>60</v>
      </c>
      <c r="AO10">
        <v>48</v>
      </c>
      <c r="AS10">
        <v>150</v>
      </c>
      <c r="AU10">
        <v>161</v>
      </c>
      <c r="BC10">
        <f>LN(C13/C10)</f>
        <v>-4.2717729685154325E-2</v>
      </c>
      <c r="BD10">
        <f>SQRT($A13-$A10)</f>
        <v>1.7320508075688772</v>
      </c>
      <c r="BE10" s="1">
        <f>(BC10/BD10)</f>
        <v>-2.4663092732893518E-2</v>
      </c>
      <c r="BF10" s="1">
        <f>EXP(BE10)</f>
        <v>0.97563855638360319</v>
      </c>
      <c r="CQ10">
        <f>LN(M13/M10)</f>
        <v>-0.96533551093993397</v>
      </c>
      <c r="CR10">
        <f>SQRT($A13-$A10)</f>
        <v>1.7320508075688772</v>
      </c>
      <c r="CS10" s="1">
        <f>(CQ10/CR10)</f>
        <v>-0.55733671709947585</v>
      </c>
      <c r="CT10" s="1">
        <f>EXP(CS10)</f>
        <v>0.57273238279542116</v>
      </c>
      <c r="DW10">
        <f t="shared" si="0"/>
        <v>0.13608217608083689</v>
      </c>
      <c r="DX10">
        <f t="shared" si="1"/>
        <v>1</v>
      </c>
      <c r="DY10" s="1">
        <f t="shared" si="10"/>
        <v>0.13608217608083689</v>
      </c>
      <c r="DZ10" s="1">
        <f t="shared" si="11"/>
        <v>1.1457760451112116</v>
      </c>
      <c r="EY10">
        <f>LN(AB17/AB10)</f>
        <v>-1.6094379124341003</v>
      </c>
      <c r="EZ10">
        <f>SQRT($A17-$A10)</f>
        <v>2.6457513110645907</v>
      </c>
      <c r="FA10" s="1">
        <f>(EY10/EZ10)</f>
        <v>-0.60831035241422549</v>
      </c>
      <c r="FB10" s="1">
        <f>EXP(FA10)</f>
        <v>0.54426971660431311</v>
      </c>
      <c r="FC10">
        <f t="shared" si="2"/>
        <v>2.4803060456580858E-2</v>
      </c>
      <c r="FD10">
        <f t="shared" si="3"/>
        <v>1</v>
      </c>
      <c r="FE10" s="1">
        <f t="shared" si="17"/>
        <v>2.4803060456580858E-2</v>
      </c>
      <c r="FF10" s="1">
        <f t="shared" si="18"/>
        <v>1.0251132153149445</v>
      </c>
      <c r="FG10">
        <f>LN(AD14/AD10)</f>
        <v>-0.17589066646366416</v>
      </c>
      <c r="FH10">
        <f>SQRT($A14-$A10)</f>
        <v>2</v>
      </c>
      <c r="FI10" s="1">
        <f t="shared" ref="FI10" si="21">(FG10/FH10)</f>
        <v>-8.7945333231832082E-2</v>
      </c>
      <c r="FJ10" s="1">
        <f t="shared" ref="FJ10" si="22">EXP(FI10)</f>
        <v>0.91581093977925099</v>
      </c>
      <c r="GA10">
        <f>LN(AI17/AI10)</f>
        <v>1.0296194171811581</v>
      </c>
      <c r="GB10">
        <f>SQRT($A17-$A10)</f>
        <v>2.6457513110645907</v>
      </c>
      <c r="GC10" s="1">
        <f>(GA10/GB10)</f>
        <v>0.38915956041494409</v>
      </c>
      <c r="GD10" s="1">
        <f>EXP(GC10)</f>
        <v>1.4757400022353397</v>
      </c>
      <c r="GE10">
        <f>LN(AJ13/AJ10)</f>
        <v>-0.16251892949777494</v>
      </c>
      <c r="GF10">
        <f>SQRT($A13-$A10)</f>
        <v>1.7320508075688772</v>
      </c>
      <c r="GG10" s="1">
        <f>(GE10/GF10)</f>
        <v>-9.3830347693950183E-2</v>
      </c>
      <c r="GH10" s="1">
        <f>EXP(GG10)</f>
        <v>0.91043720691111529</v>
      </c>
      <c r="GY10">
        <f>LN(AO12/AO10)</f>
        <v>0.57145024558242552</v>
      </c>
      <c r="GZ10">
        <f>SQRT($A12-$A10)</f>
        <v>1.4142135623730951</v>
      </c>
      <c r="HA10" s="1">
        <f t="shared" si="13"/>
        <v>0.40407634376205098</v>
      </c>
      <c r="HB10" s="1">
        <f t="shared" si="14"/>
        <v>1.4979182993112534</v>
      </c>
      <c r="HO10">
        <f>LN(AS15/AS10)</f>
        <v>6.4538521137571164E-2</v>
      </c>
      <c r="HP10">
        <f>SQRT($A15-$A10)</f>
        <v>2.2360679774997898</v>
      </c>
      <c r="HQ10" s="1">
        <f t="shared" si="16"/>
        <v>2.8862504086183235E-2</v>
      </c>
      <c r="HR10" s="1">
        <f t="shared" si="5"/>
        <v>1.0292830625300631</v>
      </c>
      <c r="HW10">
        <f t="shared" si="6"/>
        <v>7.1887229513315873E-2</v>
      </c>
      <c r="HX10">
        <f t="shared" si="7"/>
        <v>1</v>
      </c>
      <c r="HY10" s="1">
        <f t="shared" si="8"/>
        <v>7.1887229513315873E-2</v>
      </c>
      <c r="HZ10" s="1">
        <f t="shared" si="9"/>
        <v>1.0745341614906831</v>
      </c>
    </row>
    <row r="11" spans="1:242" x14ac:dyDescent="0.3">
      <c r="A11">
        <v>1991</v>
      </c>
      <c r="G11">
        <v>328</v>
      </c>
      <c r="N11">
        <v>5927</v>
      </c>
      <c r="O11">
        <v>1187</v>
      </c>
      <c r="U11">
        <v>32917</v>
      </c>
      <c r="X11">
        <v>696</v>
      </c>
      <c r="AA11">
        <v>6406</v>
      </c>
      <c r="AC11">
        <v>7470</v>
      </c>
      <c r="AU11">
        <v>173</v>
      </c>
      <c r="BS11">
        <f>LN(G16/G11)</f>
        <v>-0.34627623671783381</v>
      </c>
      <c r="BT11">
        <f>SQRT($A16-$A11)</f>
        <v>2.2360679774997898</v>
      </c>
      <c r="BU11" s="1">
        <f>(BS11/BT11)</f>
        <v>-0.15485944085877701</v>
      </c>
      <c r="BV11" s="1">
        <f>EXP(BU11)</f>
        <v>0.85653556292592992</v>
      </c>
      <c r="CU11">
        <f>LN(N14/N11)</f>
        <v>-0.42833299879937836</v>
      </c>
      <c r="CV11">
        <f>SQRT($A14-$A11)</f>
        <v>1.7320508075688772</v>
      </c>
      <c r="CW11" s="1">
        <f>(CU11/CV11)</f>
        <v>-0.24729817215962077</v>
      </c>
      <c r="CX11" s="1">
        <f>EXP(CW11)</f>
        <v>0.78090781384466346</v>
      </c>
      <c r="CY11">
        <f>LN(O16/O11)</f>
        <v>-1.5577234767474217</v>
      </c>
      <c r="CZ11">
        <f>SQRT($A16-$A11)</f>
        <v>2.2360679774997898</v>
      </c>
      <c r="DA11" s="1">
        <f>(CY11/CZ11)</f>
        <v>-0.69663511683090962</v>
      </c>
      <c r="DB11" s="1">
        <f>EXP(DA11)</f>
        <v>0.49825906975635803</v>
      </c>
      <c r="DW11">
        <f t="shared" si="0"/>
        <v>0.11270354148186257</v>
      </c>
      <c r="DX11">
        <f t="shared" si="1"/>
        <v>1</v>
      </c>
      <c r="DY11" s="1">
        <f t="shared" si="10"/>
        <v>0.11270354148186257</v>
      </c>
      <c r="DZ11" s="1">
        <f t="shared" si="11"/>
        <v>1.1193000577209344</v>
      </c>
      <c r="EI11">
        <f>LN(X13/X11)</f>
        <v>7.2053317640057568E-2</v>
      </c>
      <c r="EJ11">
        <f>SQRT($A13-$A11)</f>
        <v>1.4142135623730951</v>
      </c>
      <c r="EK11" s="1">
        <f>(EI11/EJ11)</f>
        <v>5.0949389510272988E-2</v>
      </c>
      <c r="EL11" s="1">
        <f>EXP(EK11)</f>
        <v>1.0522696360539225</v>
      </c>
      <c r="EU11">
        <f>LN(AA13/AA11)</f>
        <v>-0.20072273136693722</v>
      </c>
      <c r="EV11">
        <f>SQRT($A13-$A11)</f>
        <v>1.4142135623730951</v>
      </c>
      <c r="EW11" s="1">
        <f>(EU11/EV11)</f>
        <v>-0.14193240448784702</v>
      </c>
      <c r="EX11" s="1">
        <f>EXP(EW11)</f>
        <v>0.86767990577129295</v>
      </c>
      <c r="FC11">
        <f t="shared" si="2"/>
        <v>2.1454935001259466E-2</v>
      </c>
      <c r="FD11">
        <f t="shared" si="3"/>
        <v>1</v>
      </c>
      <c r="FE11" s="1">
        <f t="shared" si="17"/>
        <v>2.1454935001259466E-2</v>
      </c>
      <c r="FF11" s="1">
        <f t="shared" si="18"/>
        <v>1.0216867469879518</v>
      </c>
      <c r="HW11">
        <f t="shared" si="6"/>
        <v>1.1494379425735212E-2</v>
      </c>
      <c r="HX11">
        <f t="shared" si="7"/>
        <v>1</v>
      </c>
      <c r="HY11" s="1">
        <f t="shared" si="8"/>
        <v>1.1494379425735212E-2</v>
      </c>
      <c r="HZ11" s="1">
        <f t="shared" si="9"/>
        <v>1.0115606936416186</v>
      </c>
    </row>
    <row r="12" spans="1:242" x14ac:dyDescent="0.3">
      <c r="A12">
        <v>1992</v>
      </c>
      <c r="F12">
        <v>672</v>
      </c>
      <c r="Q12">
        <v>17320</v>
      </c>
      <c r="U12">
        <v>36844</v>
      </c>
      <c r="AC12">
        <v>7632</v>
      </c>
      <c r="AO12">
        <v>85</v>
      </c>
      <c r="AU12">
        <v>175</v>
      </c>
      <c r="BO12">
        <f>LN(F15/F12)</f>
        <v>-0.54155078053778372</v>
      </c>
      <c r="BP12">
        <f>SQRT($A15-$A12)</f>
        <v>1.7320508075688772</v>
      </c>
      <c r="BQ12" s="1">
        <f>(BO12/BP12)</f>
        <v>-0.31266448892334137</v>
      </c>
      <c r="BR12" s="1">
        <f>EXP(BQ12)</f>
        <v>0.73149529617651188</v>
      </c>
      <c r="DG12">
        <f>LN(Q16/Q12)</f>
        <v>0.38807066425952175</v>
      </c>
      <c r="DH12">
        <f>SQRT($A16-$A12)</f>
        <v>2</v>
      </c>
      <c r="DI12" s="1">
        <f>(DG12/DH12)</f>
        <v>0.19403533212976087</v>
      </c>
      <c r="DJ12" s="1">
        <f>EXP(DI12)</f>
        <v>1.2141391803214678</v>
      </c>
      <c r="DW12">
        <f t="shared" si="0"/>
        <v>-0.46249740193437605</v>
      </c>
      <c r="DX12">
        <f t="shared" si="1"/>
        <v>1</v>
      </c>
      <c r="DY12" s="1">
        <f t="shared" si="10"/>
        <v>-0.46249740193437605</v>
      </c>
      <c r="DZ12" s="1">
        <f t="shared" si="11"/>
        <v>0.62970904353490387</v>
      </c>
      <c r="FC12">
        <f t="shared" si="2"/>
        <v>2.6123301097654109E-2</v>
      </c>
      <c r="FD12">
        <f t="shared" si="3"/>
        <v>1</v>
      </c>
      <c r="FE12" s="1">
        <f t="shared" si="17"/>
        <v>2.6123301097654109E-2</v>
      </c>
      <c r="FF12" s="1">
        <f t="shared" si="18"/>
        <v>1.0264675052410901</v>
      </c>
      <c r="GY12">
        <f t="shared" ref="GY12:GY16" si="23">LN(AO13/AO12)</f>
        <v>-0.45366720992604215</v>
      </c>
      <c r="GZ12">
        <f>SQRT($A13-$A12)</f>
        <v>1</v>
      </c>
      <c r="HA12" s="1">
        <f t="shared" ref="HA12:HA17" si="24">(GY12/GZ12)</f>
        <v>-0.45366720992604215</v>
      </c>
      <c r="HB12" s="1">
        <f t="shared" si="14"/>
        <v>0.63529411764705879</v>
      </c>
      <c r="HW12">
        <f t="shared" si="6"/>
        <v>4.4700178917906987E-2</v>
      </c>
      <c r="HX12">
        <f t="shared" si="7"/>
        <v>1</v>
      </c>
      <c r="HY12" s="1">
        <f t="shared" si="8"/>
        <v>4.4700178917906987E-2</v>
      </c>
      <c r="HZ12" s="1">
        <f t="shared" si="9"/>
        <v>1.0457142857142858</v>
      </c>
    </row>
    <row r="13" spans="1:242" x14ac:dyDescent="0.3">
      <c r="A13">
        <v>1993</v>
      </c>
      <c r="B13">
        <v>2100</v>
      </c>
      <c r="C13">
        <v>5270</v>
      </c>
      <c r="M13">
        <v>187</v>
      </c>
      <c r="U13">
        <v>23201</v>
      </c>
      <c r="V13">
        <v>2508</v>
      </c>
      <c r="W13">
        <v>1893</v>
      </c>
      <c r="X13">
        <v>748</v>
      </c>
      <c r="AA13">
        <v>5241</v>
      </c>
      <c r="AC13">
        <v>7834</v>
      </c>
      <c r="AJ13">
        <v>51</v>
      </c>
      <c r="AO13">
        <v>54</v>
      </c>
      <c r="AU13">
        <v>183</v>
      </c>
      <c r="AV13">
        <v>84</v>
      </c>
      <c r="AY13">
        <f>LN(B16/B13)</f>
        <v>0.36761488397706682</v>
      </c>
      <c r="AZ13">
        <f>SQRT($A16-$A13)</f>
        <v>1.7320508075688772</v>
      </c>
      <c r="BA13" s="1">
        <f>(AY13/AZ13)</f>
        <v>0.21224255222227259</v>
      </c>
      <c r="BB13" s="1">
        <f>EXP(BA13)</f>
        <v>1.2364477518602939</v>
      </c>
      <c r="BC13">
        <f>LN(C14/C13)</f>
        <v>0.42065590929145402</v>
      </c>
      <c r="BD13">
        <f>SQRT($A14-$A13)</f>
        <v>1</v>
      </c>
      <c r="BE13" s="1">
        <f>(BC13/BD13)</f>
        <v>0.42065590929145402</v>
      </c>
      <c r="BF13" s="1">
        <f>EXP(BE13)</f>
        <v>1.5229601518026565</v>
      </c>
      <c r="CQ13">
        <f>LN(M14/M13)</f>
        <v>1.2272296664902032</v>
      </c>
      <c r="CR13">
        <f>SQRT($A14-$A13)</f>
        <v>1</v>
      </c>
      <c r="CS13" s="1">
        <f>(CQ13/CR13)</f>
        <v>1.2272296664902032</v>
      </c>
      <c r="CT13" s="1">
        <f>EXP(CS13)</f>
        <v>3.4117647058823524</v>
      </c>
      <c r="DW13">
        <f t="shared" si="0"/>
        <v>0.30820195716893273</v>
      </c>
      <c r="DX13">
        <f t="shared" si="1"/>
        <v>1</v>
      </c>
      <c r="DY13" s="1">
        <f t="shared" si="10"/>
        <v>0.30820195716893273</v>
      </c>
      <c r="DZ13" s="1">
        <f t="shared" si="11"/>
        <v>1.3609758200077582</v>
      </c>
      <c r="EA13">
        <f>LN(V17/V13)</f>
        <v>0.36864448956198503</v>
      </c>
      <c r="EB13">
        <f>SQRT($A17-$A13)</f>
        <v>2</v>
      </c>
      <c r="EC13" s="1">
        <f>(EA13/EB13)</f>
        <v>0.18432224478099252</v>
      </c>
      <c r="ED13" s="1">
        <f>EXP(EC13)</f>
        <v>1.2024032288383515</v>
      </c>
      <c r="EE13">
        <f>LN(W17/W13)</f>
        <v>0.15301804860412496</v>
      </c>
      <c r="EF13">
        <f>SQRT($A17-$A13)</f>
        <v>2</v>
      </c>
      <c r="EG13" s="1">
        <f>(EE13/EF13)</f>
        <v>7.6509024302062481E-2</v>
      </c>
      <c r="EH13" s="1">
        <f>EXP(EG13)</f>
        <v>1.0795119321349647</v>
      </c>
      <c r="EI13">
        <f>LN(X14/X13)</f>
        <v>0.10522681688097105</v>
      </c>
      <c r="EJ13">
        <f>SQRT($A14-$A13)</f>
        <v>1</v>
      </c>
      <c r="EK13" s="1">
        <f>(EI13/EJ13)</f>
        <v>0.10522681688097105</v>
      </c>
      <c r="EL13" s="1">
        <f>EXP(EK13)</f>
        <v>1.1109625668449199</v>
      </c>
      <c r="EU13">
        <f>LN(AA15/AA13)</f>
        <v>-0.19002141670586192</v>
      </c>
      <c r="EV13">
        <f>SQRT($A15-$A13)</f>
        <v>1.4142135623730951</v>
      </c>
      <c r="EW13" s="1">
        <f>(EU13/EV13)</f>
        <v>-0.13436543232338966</v>
      </c>
      <c r="EX13" s="1">
        <f>EXP(EW13)</f>
        <v>0.87427051951362089</v>
      </c>
      <c r="FC13">
        <f t="shared" si="2"/>
        <v>-3.5805664852162984E-3</v>
      </c>
      <c r="FD13">
        <f t="shared" si="3"/>
        <v>1</v>
      </c>
      <c r="FE13" s="1">
        <f t="shared" si="17"/>
        <v>-3.5805664852162984E-3</v>
      </c>
      <c r="FF13" s="1">
        <f t="shared" si="18"/>
        <v>0.99642583609905544</v>
      </c>
      <c r="GE13">
        <f>LN(AJ16/AJ13)</f>
        <v>1.3764420646768791</v>
      </c>
      <c r="GF13">
        <f>SQRT($A16-$A13)</f>
        <v>1.7320508075688772</v>
      </c>
      <c r="GG13" s="1">
        <f>(GE13/GF13)</f>
        <v>0.79468919656512049</v>
      </c>
      <c r="GH13" s="1">
        <f>EXP(GG13)</f>
        <v>2.2137528478809938</v>
      </c>
      <c r="GY13">
        <f t="shared" si="23"/>
        <v>0.2736958304770411</v>
      </c>
      <c r="GZ13">
        <f>SQRT($A14-$A13)</f>
        <v>1</v>
      </c>
      <c r="HA13" s="1">
        <f t="shared" si="24"/>
        <v>0.2736958304770411</v>
      </c>
      <c r="HB13" s="1">
        <f t="shared" si="14"/>
        <v>1.3148148148148149</v>
      </c>
      <c r="HW13">
        <f t="shared" si="6"/>
        <v>5.3204036063464667E-2</v>
      </c>
      <c r="HX13">
        <f t="shared" si="7"/>
        <v>1</v>
      </c>
      <c r="HY13" s="1">
        <f t="shared" si="8"/>
        <v>5.3204036063464667E-2</v>
      </c>
      <c r="HZ13" s="1">
        <f t="shared" si="9"/>
        <v>1.0546448087431695</v>
      </c>
      <c r="IA13">
        <f>LN(AV16/AV13)</f>
        <v>-3.6367644170874833E-2</v>
      </c>
      <c r="IB13">
        <f>SQRT($A16-$A13)</f>
        <v>1.7320508075688772</v>
      </c>
      <c r="IC13" s="1">
        <f t="shared" ref="IC13" si="25">(IA13/IB13)</f>
        <v>-2.0996869151847109E-2</v>
      </c>
      <c r="ID13" s="1">
        <f t="shared" ref="ID13" si="26">EXP(IC13)</f>
        <v>0.97922203036014532</v>
      </c>
    </row>
    <row r="14" spans="1:242" x14ac:dyDescent="0.3">
      <c r="A14">
        <v>1994</v>
      </c>
      <c r="C14">
        <v>8026</v>
      </c>
      <c r="E14">
        <v>110</v>
      </c>
      <c r="M14">
        <v>638</v>
      </c>
      <c r="N14">
        <v>3862</v>
      </c>
      <c r="U14">
        <v>31576</v>
      </c>
      <c r="X14">
        <v>831</v>
      </c>
      <c r="AC14">
        <v>7806</v>
      </c>
      <c r="AD14">
        <v>26</v>
      </c>
      <c r="AG14">
        <v>117</v>
      </c>
      <c r="AH14">
        <v>187</v>
      </c>
      <c r="AO14">
        <v>71</v>
      </c>
      <c r="AQ14">
        <v>12</v>
      </c>
      <c r="AU14">
        <v>193</v>
      </c>
      <c r="AW14">
        <v>219</v>
      </c>
      <c r="BC14">
        <f>LN(C16/C14)</f>
        <v>9.5921641329609716E-2</v>
      </c>
      <c r="BD14">
        <f>SQRT($A16-$A14)</f>
        <v>1.4142135623730951</v>
      </c>
      <c r="BE14" s="1">
        <f>(BC14/BD14)</f>
        <v>6.7826843046710827E-2</v>
      </c>
      <c r="BF14" s="1">
        <f>EXP(BE14)</f>
        <v>1.070179983328684</v>
      </c>
      <c r="BK14">
        <f>LN(E25/E14)</f>
        <v>-7.0030654587864616</v>
      </c>
      <c r="BL14">
        <f>SQRT($A25-$A14)</f>
        <v>3.3166247903553998</v>
      </c>
      <c r="BM14" s="1">
        <f>(BK14/BL14)</f>
        <v>-2.1115036826447993</v>
      </c>
      <c r="BN14" s="1">
        <f>EXP(BM14)</f>
        <v>0.12105580000193987</v>
      </c>
      <c r="CQ14">
        <f>LN(M25/M14)</f>
        <v>-0.18169479400314548</v>
      </c>
      <c r="CR14">
        <f>SQRT($A25-$A14)</f>
        <v>3.3166247903553998</v>
      </c>
      <c r="CS14" s="1">
        <f>(CQ14/CR14)</f>
        <v>-5.4783041642668173E-2</v>
      </c>
      <c r="CT14" s="1">
        <f>EXP(CS14)</f>
        <v>0.9466905180940014</v>
      </c>
      <c r="CU14">
        <f>LN(N15/N14)</f>
        <v>-3.8915602361646348E-3</v>
      </c>
      <c r="CV14">
        <f>SQRT($A15-$A14)</f>
        <v>1</v>
      </c>
      <c r="CW14" s="1">
        <f>(CU14/CV14)</f>
        <v>-3.8915602361646348E-3</v>
      </c>
      <c r="CX14" s="1">
        <f>EXP(CW14)</f>
        <v>0.99611600207146556</v>
      </c>
      <c r="DW14">
        <f t="shared" si="0"/>
        <v>-0.30381523071234473</v>
      </c>
      <c r="DX14">
        <f t="shared" si="1"/>
        <v>1</v>
      </c>
      <c r="DY14" s="1">
        <f t="shared" si="10"/>
        <v>-0.30381523071234473</v>
      </c>
      <c r="DZ14" s="1">
        <f t="shared" si="11"/>
        <v>0.73799721307322019</v>
      </c>
      <c r="EI14">
        <f>LN(X15/X14)</f>
        <v>-0.65652170475170046</v>
      </c>
      <c r="EJ14">
        <f>SQRT($A15-$A14)</f>
        <v>1</v>
      </c>
      <c r="EK14" s="1">
        <f>(EI14/EJ14)</f>
        <v>-0.65652170475170046</v>
      </c>
      <c r="EL14" s="1">
        <f>EXP(EK14)</f>
        <v>0.51865222623345364</v>
      </c>
      <c r="FC14">
        <f t="shared" si="2"/>
        <v>3.2517042570589572E-2</v>
      </c>
      <c r="FD14">
        <f t="shared" si="3"/>
        <v>1</v>
      </c>
      <c r="FE14" s="1">
        <f t="shared" si="17"/>
        <v>3.2517042570589572E-2</v>
      </c>
      <c r="FF14" s="1">
        <f t="shared" si="18"/>
        <v>1.0330514988470407</v>
      </c>
      <c r="FG14">
        <f>LN(AD17/AD14)</f>
        <v>0.81944090588423735</v>
      </c>
      <c r="FH14">
        <f>SQRT($A17-$A14)</f>
        <v>1.7320508075688772</v>
      </c>
      <c r="FI14" s="1">
        <f t="shared" ref="FI14" si="27">(FG14/FH14)</f>
        <v>0.47310442759725524</v>
      </c>
      <c r="FJ14" s="1">
        <f t="shared" ref="FJ14" si="28">EXP(FI14)</f>
        <v>1.6049689772793378</v>
      </c>
      <c r="FS14">
        <f>LN(AG16/AG14)</f>
        <v>-1.5432981099295555</v>
      </c>
      <c r="FT14">
        <f>SQRT($A16-$A14)</f>
        <v>1.4142135623730951</v>
      </c>
      <c r="FU14" s="1">
        <f>(FS14/FT14)</f>
        <v>-1.0912765589235704</v>
      </c>
      <c r="FV14" s="1">
        <f>EXP(FU14)</f>
        <v>0.33578756737455717</v>
      </c>
      <c r="FW14">
        <f>LN(AH16/AH14)</f>
        <v>0.21562875481172339</v>
      </c>
      <c r="FX14">
        <f>SQRT($A16-$A14)</f>
        <v>1.4142135623730951</v>
      </c>
      <c r="FY14" s="1">
        <f>(FW14/FX14)</f>
        <v>0.15247255474618099</v>
      </c>
      <c r="FZ14" s="1">
        <f>EXP(FY14)</f>
        <v>1.1647104958807708</v>
      </c>
      <c r="GY14">
        <f t="shared" si="23"/>
        <v>0.2371297932889497</v>
      </c>
      <c r="GZ14">
        <f>SQRT($A15-$A14)</f>
        <v>1</v>
      </c>
      <c r="HA14" s="1">
        <f t="shared" si="24"/>
        <v>0.2371297932889497</v>
      </c>
      <c r="HB14" s="1">
        <f t="shared" si="14"/>
        <v>1.267605633802817</v>
      </c>
      <c r="HG14">
        <f>LN(AQ17/AQ14)</f>
        <v>0.73396917508020054</v>
      </c>
      <c r="HH14">
        <f>SQRT($A17-$A14)</f>
        <v>1.7320508075688772</v>
      </c>
      <c r="HI14" s="1">
        <f t="shared" ref="HI14" si="29">(HG14/HH14)</f>
        <v>0.42375730080944135</v>
      </c>
      <c r="HJ14" s="1">
        <f t="shared" ref="HJ14" si="30">EXP(HI14)</f>
        <v>1.5276907794721089</v>
      </c>
      <c r="HW14">
        <f t="shared" si="6"/>
        <v>7.4847890796432476E-2</v>
      </c>
      <c r="HX14">
        <f t="shared" si="7"/>
        <v>1</v>
      </c>
      <c r="HY14" s="1">
        <f t="shared" si="8"/>
        <v>7.4847890796432476E-2</v>
      </c>
      <c r="HZ14" s="1">
        <f t="shared" si="9"/>
        <v>1.0777202072538861</v>
      </c>
      <c r="IE14">
        <f>LN(AW15/AW14)</f>
        <v>0.13238918804574565</v>
      </c>
      <c r="IF14">
        <f>SQRT($A15-$A14)</f>
        <v>1</v>
      </c>
      <c r="IG14" s="1">
        <f t="shared" ref="IG14" si="31">(IE14/IF14)</f>
        <v>0.13238918804574565</v>
      </c>
      <c r="IH14" s="1">
        <f t="shared" ref="IH14:IH18" si="32">EXP(IG14)</f>
        <v>1.1415525114155252</v>
      </c>
    </row>
    <row r="15" spans="1:242" x14ac:dyDescent="0.3">
      <c r="A15">
        <v>1995</v>
      </c>
      <c r="F15">
        <v>391</v>
      </c>
      <c r="N15">
        <v>3847</v>
      </c>
      <c r="U15">
        <v>23303</v>
      </c>
      <c r="X15" s="2">
        <v>431</v>
      </c>
      <c r="Y15" s="2">
        <v>45</v>
      </c>
      <c r="AA15">
        <v>4334</v>
      </c>
      <c r="AC15">
        <v>8064</v>
      </c>
      <c r="AN15">
        <v>150</v>
      </c>
      <c r="AO15">
        <v>90</v>
      </c>
      <c r="AS15" s="2">
        <v>160</v>
      </c>
      <c r="AU15">
        <v>208</v>
      </c>
      <c r="AW15">
        <v>250</v>
      </c>
      <c r="BO15">
        <f>LN(F22/F15)</f>
        <v>-1.2065336251876098</v>
      </c>
      <c r="BP15">
        <f>SQRT($A22-$A15)</f>
        <v>2.6457513110645907</v>
      </c>
      <c r="BQ15" s="1">
        <f>(BO15/BP15)</f>
        <v>-0.45602684581194741</v>
      </c>
      <c r="BR15" s="1">
        <f>EXP(BQ15)</f>
        <v>0.63379682207986066</v>
      </c>
      <c r="CU15">
        <f>LN(N17/N15)</f>
        <v>0.15277575160857718</v>
      </c>
      <c r="CV15">
        <f>SQRT($A17-$A15)</f>
        <v>1.4142135623730951</v>
      </c>
      <c r="CW15" s="1">
        <f>(CU15/CV15)</f>
        <v>0.10802876996329651</v>
      </c>
      <c r="CX15" s="1">
        <f>EXP(CW15)</f>
        <v>1.114079796960272</v>
      </c>
      <c r="DW15">
        <f t="shared" si="0"/>
        <v>0.18029544576731418</v>
      </c>
      <c r="DX15">
        <f t="shared" si="1"/>
        <v>1</v>
      </c>
      <c r="DY15" s="1">
        <f t="shared" si="10"/>
        <v>0.18029544576731418</v>
      </c>
      <c r="DZ15" s="1">
        <f t="shared" si="11"/>
        <v>1.1975711281809209</v>
      </c>
      <c r="EI15">
        <f>LN(X16/X15)</f>
        <v>-0.39622716712322809</v>
      </c>
      <c r="EJ15">
        <f>SQRT($A16-$A15)</f>
        <v>1</v>
      </c>
      <c r="EK15" s="1">
        <f>(EI15/EJ15)</f>
        <v>-0.39622716712322809</v>
      </c>
      <c r="EL15" s="1">
        <f>EXP(EK15)</f>
        <v>0.6728538283062645</v>
      </c>
      <c r="EM15">
        <f>LN(Y22/Y15)</f>
        <v>0.27087495413539969</v>
      </c>
      <c r="EN15">
        <f>SQRT($A22-$A15)</f>
        <v>2.6457513110645907</v>
      </c>
      <c r="EO15" s="1">
        <f>(EM15/EN15)</f>
        <v>0.10238110929118494</v>
      </c>
      <c r="EP15" s="1">
        <f>EXP(EO15)</f>
        <v>1.1078055862886949</v>
      </c>
      <c r="EU15">
        <f>LN(AA16/AA15)</f>
        <v>-0.11220333812936313</v>
      </c>
      <c r="EV15">
        <f>SQRT($A16-$A15)</f>
        <v>1</v>
      </c>
      <c r="EW15" s="1">
        <f>(EU15/EV15)</f>
        <v>-0.11220333812936313</v>
      </c>
      <c r="EX15" s="1">
        <f>EXP(EW15)</f>
        <v>0.89386248269497004</v>
      </c>
      <c r="FC15">
        <f t="shared" si="2"/>
        <v>3.125254350410453E-2</v>
      </c>
      <c r="FD15">
        <f t="shared" si="3"/>
        <v>1</v>
      </c>
      <c r="FE15" s="1">
        <f t="shared" si="17"/>
        <v>3.125254350410453E-2</v>
      </c>
      <c r="FF15" s="1">
        <f t="shared" si="18"/>
        <v>1.0317460317460319</v>
      </c>
      <c r="GU15">
        <f>LN(AN16/AN15)</f>
        <v>0.28768207245178085</v>
      </c>
      <c r="GV15">
        <f>SQRT($A16-$A15)</f>
        <v>1</v>
      </c>
      <c r="GW15" s="1">
        <f>(GU15/GV15)</f>
        <v>0.28768207245178085</v>
      </c>
      <c r="GX15" s="1">
        <f>EXP(GW15)</f>
        <v>1.3333333333333333</v>
      </c>
      <c r="GY15">
        <f t="shared" si="23"/>
        <v>0.16362942378180212</v>
      </c>
      <c r="GZ15">
        <f>SQRT($A16-$A15)</f>
        <v>1</v>
      </c>
      <c r="HA15" s="1">
        <f t="shared" si="24"/>
        <v>0.16362942378180212</v>
      </c>
      <c r="HB15" s="1">
        <f t="shared" si="14"/>
        <v>1.1777777777777778</v>
      </c>
      <c r="HO15">
        <f t="shared" ref="HO15:HO16" si="33">LN(AS16/AS15)</f>
        <v>0.27193371548364176</v>
      </c>
      <c r="HP15">
        <f>SQRT($A16-$A15)</f>
        <v>1</v>
      </c>
      <c r="HQ15" s="1">
        <f t="shared" ref="HQ15:HQ17" si="34">(HO15/HP15)</f>
        <v>0.27193371548364176</v>
      </c>
      <c r="HR15" s="1">
        <f t="shared" ref="HR15:HR17" si="35">EXP(HQ15)</f>
        <v>1.3125</v>
      </c>
      <c r="HW15">
        <f t="shared" si="6"/>
        <v>4.6956983087771083E-2</v>
      </c>
      <c r="HX15">
        <f t="shared" si="7"/>
        <v>1</v>
      </c>
      <c r="HY15" s="1">
        <f t="shared" si="8"/>
        <v>4.6956983087771083E-2</v>
      </c>
      <c r="HZ15" s="1">
        <f t="shared" si="9"/>
        <v>1.0480769230769231</v>
      </c>
      <c r="IE15">
        <f t="shared" ref="IE15" si="36">LN(AW16/AW15)</f>
        <v>1.980262729617973E-2</v>
      </c>
      <c r="IF15">
        <f>SQRT($A16-$A15)</f>
        <v>1</v>
      </c>
      <c r="IG15" s="1">
        <f t="shared" ref="IG15:IG16" si="37">(IE15/IF15)</f>
        <v>1.980262729617973E-2</v>
      </c>
      <c r="IH15" s="1">
        <f t="shared" si="32"/>
        <v>1.02</v>
      </c>
    </row>
    <row r="16" spans="1:242" x14ac:dyDescent="0.3">
      <c r="A16">
        <v>1996</v>
      </c>
      <c r="B16">
        <v>3033</v>
      </c>
      <c r="C16">
        <v>8834</v>
      </c>
      <c r="D16" s="2">
        <v>0.1</v>
      </c>
      <c r="G16">
        <v>232</v>
      </c>
      <c r="O16" s="2">
        <v>250</v>
      </c>
      <c r="P16">
        <v>7758</v>
      </c>
      <c r="Q16">
        <v>25532</v>
      </c>
      <c r="R16" s="2">
        <v>0.1</v>
      </c>
      <c r="S16" s="2">
        <v>0.1</v>
      </c>
      <c r="T16" s="2">
        <v>5236</v>
      </c>
      <c r="U16">
        <v>27907</v>
      </c>
      <c r="X16" s="2">
        <v>290</v>
      </c>
      <c r="AA16">
        <v>3874</v>
      </c>
      <c r="AC16">
        <v>8320</v>
      </c>
      <c r="AE16">
        <v>355</v>
      </c>
      <c r="AG16">
        <v>25</v>
      </c>
      <c r="AH16">
        <v>232</v>
      </c>
      <c r="AJ16">
        <v>202</v>
      </c>
      <c r="AN16">
        <v>200</v>
      </c>
      <c r="AO16">
        <v>106</v>
      </c>
      <c r="AS16" s="2">
        <v>210</v>
      </c>
      <c r="AU16">
        <v>218</v>
      </c>
      <c r="AV16">
        <v>81</v>
      </c>
      <c r="AW16">
        <v>255</v>
      </c>
      <c r="AY16">
        <f>LN(B20/B16)</f>
        <v>-0.64017379485462678</v>
      </c>
      <c r="AZ16">
        <f>SQRT($A20-$A16)</f>
        <v>2</v>
      </c>
      <c r="BA16" s="1">
        <f>(AY16/AZ16)</f>
        <v>-0.32008689742731339</v>
      </c>
      <c r="BB16" s="1">
        <f>EXP(BA16)</f>
        <v>0.72608593933207854</v>
      </c>
      <c r="BC16">
        <f>LN(C17/C16)</f>
        <v>-3.8659403657845565E-2</v>
      </c>
      <c r="BD16">
        <f>SQRT($A17-$A16)</f>
        <v>1</v>
      </c>
      <c r="BE16" s="1">
        <f>(BC16/BD16)</f>
        <v>-3.8659403657845565E-2</v>
      </c>
      <c r="BF16" s="1">
        <f>EXP(BE16)</f>
        <v>0.96207833371066331</v>
      </c>
      <c r="BG16">
        <f>LN(D29/D16)</f>
        <v>7.2997973667581606</v>
      </c>
      <c r="BH16">
        <f>SQRT($A28-$A16)</f>
        <v>3.4641016151377544</v>
      </c>
      <c r="BI16" s="1">
        <f>(BG16/BH16)</f>
        <v>2.1072699873637726</v>
      </c>
      <c r="BJ16" s="1">
        <f>EXP(BI16)</f>
        <v>8.225754190684583</v>
      </c>
      <c r="BS16">
        <f>LN(G23/G16)</f>
        <v>1.8510309108650698</v>
      </c>
      <c r="BT16">
        <f>SQRT($A23-$A16)</f>
        <v>2.6457513110645907</v>
      </c>
      <c r="BU16" s="1">
        <f>(BS16/BT16)</f>
        <v>0.69962392274890595</v>
      </c>
      <c r="BV16" s="1">
        <f>EXP(BU16)</f>
        <v>2.0129955232766674</v>
      </c>
      <c r="CY16">
        <f>LN(O24/O16)</f>
        <v>1.2798221166093739</v>
      </c>
      <c r="CZ16">
        <f>SQRT($A24-$A16)</f>
        <v>2.8284271247461903</v>
      </c>
      <c r="DA16" s="1">
        <f>(CY16/CZ16)</f>
        <v>0.45248544868350432</v>
      </c>
      <c r="DB16" s="1">
        <f>EXP(DA16)</f>
        <v>1.572214993051759</v>
      </c>
      <c r="DC16">
        <f>LN(P19/P16)</f>
        <v>-0.35457792865672089</v>
      </c>
      <c r="DD16">
        <f>SQRT($A19-$A16)</f>
        <v>1.7320508075688772</v>
      </c>
      <c r="DE16" s="1">
        <f>(DC16/DD16)</f>
        <v>-0.20471566255865772</v>
      </c>
      <c r="DF16" s="1">
        <f>EXP(DE16)</f>
        <v>0.81487898407929449</v>
      </c>
      <c r="DG16">
        <f>LN(Q19/Q16)</f>
        <v>-0.14648392033375063</v>
      </c>
      <c r="DH16">
        <f>SQRT($A19-$A16)</f>
        <v>1.7320508075688772</v>
      </c>
      <c r="DI16" s="1">
        <f>(DG16/DH16)</f>
        <v>-8.4572530836642623E-2</v>
      </c>
      <c r="DJ16" s="1">
        <f>EXP(DI16)</f>
        <v>0.91890500401098529</v>
      </c>
      <c r="DK16">
        <f>LN(R19/R16)</f>
        <v>5.7990926544605257</v>
      </c>
      <c r="DL16">
        <f>SQRT($A19-$A16)</f>
        <v>1.7320508075688772</v>
      </c>
      <c r="DM16" s="1">
        <f>(DK16/DL16)</f>
        <v>3.3481077051083661</v>
      </c>
      <c r="DN16" s="1">
        <f>EXP(DM16)</f>
        <v>28.448849065330901</v>
      </c>
      <c r="DO16">
        <f>LN(S19/S16)</f>
        <v>6.4922398350204711</v>
      </c>
      <c r="DP16">
        <f>SQRT($A19-$A16)</f>
        <v>1.7320508075688772</v>
      </c>
      <c r="DQ16" s="1">
        <f>(DO16/DP16)</f>
        <v>3.7482964163926806</v>
      </c>
      <c r="DR16" s="1">
        <f>EXP(DQ16)</f>
        <v>42.448705449059169</v>
      </c>
      <c r="DS16">
        <f>LN(T17/T16)</f>
        <v>-0.26502249267050837</v>
      </c>
      <c r="DT16">
        <f>SQRT($A17-$A16)</f>
        <v>1</v>
      </c>
      <c r="DU16" s="1">
        <f>(DS16/DT16)</f>
        <v>-0.26502249267050837</v>
      </c>
      <c r="DV16" s="1">
        <f>EXP(DU16)</f>
        <v>0.76718869365928188</v>
      </c>
      <c r="DW16">
        <f t="shared" si="0"/>
        <v>0.12469087498376015</v>
      </c>
      <c r="DX16">
        <f t="shared" si="1"/>
        <v>1</v>
      </c>
      <c r="DY16" s="1">
        <f t="shared" si="10"/>
        <v>0.12469087498376015</v>
      </c>
      <c r="DZ16" s="1">
        <f t="shared" si="11"/>
        <v>1.1327982226681477</v>
      </c>
      <c r="EI16">
        <f>LN(X17/X16)</f>
        <v>0.97260587838673651</v>
      </c>
      <c r="EJ16">
        <f>SQRT($A17-$A16)</f>
        <v>1</v>
      </c>
      <c r="EK16" s="1">
        <f>(EI16/EJ16)</f>
        <v>0.97260587838673651</v>
      </c>
      <c r="EL16" s="1">
        <f>EXP(EK16)</f>
        <v>2.6448275862068966</v>
      </c>
      <c r="EU16">
        <f>LN(AA18/AA16)</f>
        <v>8.8387129571194031E-2</v>
      </c>
      <c r="EV16">
        <f>SQRT($A18-$A16)</f>
        <v>1.4142135623730951</v>
      </c>
      <c r="EW16" s="1">
        <f>(EU16/EV16)</f>
        <v>6.249913868940532E-2</v>
      </c>
      <c r="EX16" s="1">
        <f>EXP(EW16)</f>
        <v>1.0644935420578989</v>
      </c>
      <c r="FC16">
        <f t="shared" si="2"/>
        <v>6.1110968448021647E-3</v>
      </c>
      <c r="FD16">
        <f t="shared" si="3"/>
        <v>1</v>
      </c>
      <c r="FE16" s="1">
        <f t="shared" si="17"/>
        <v>6.1110968448021647E-3</v>
      </c>
      <c r="FF16" s="1">
        <f t="shared" si="18"/>
        <v>1.0061298076923078</v>
      </c>
      <c r="FK16">
        <f>LN(AE17/AE16)</f>
        <v>-0.15838498396604669</v>
      </c>
      <c r="FL16">
        <f>SQRT($A17-$A16)</f>
        <v>1</v>
      </c>
      <c r="FM16" s="1">
        <f>(FK16/FL16)</f>
        <v>-0.15838498396604669</v>
      </c>
      <c r="FN16" s="1">
        <f>EXP(FM16)</f>
        <v>0.85352112676056335</v>
      </c>
      <c r="FS16">
        <f>LN(AG17/AG16)</f>
        <v>1.6789639750827108</v>
      </c>
      <c r="FT16">
        <f>SQRT($A17-$A16)</f>
        <v>1</v>
      </c>
      <c r="FU16" s="1">
        <f>(FS16/FT16)</f>
        <v>1.6789639750827108</v>
      </c>
      <c r="FV16" s="1">
        <f>EXP(FU16)</f>
        <v>5.3600000000000012</v>
      </c>
      <c r="FW16">
        <f>LN(AH17/AH16)</f>
        <v>0.32781417387809841</v>
      </c>
      <c r="FX16">
        <f>SQRT($A17-$A16)</f>
        <v>1</v>
      </c>
      <c r="FY16" s="1">
        <f>(FW16/FX16)</f>
        <v>0.32781417387809841</v>
      </c>
      <c r="FZ16" s="1">
        <f>EXP(FY16)</f>
        <v>1.3879310344827587</v>
      </c>
      <c r="GE16">
        <f>LN(AJ17/AJ16)</f>
        <v>0.43152521477802941</v>
      </c>
      <c r="GF16">
        <f>SQRT($A17-$A16)</f>
        <v>1</v>
      </c>
      <c r="GG16" s="1">
        <f>(GE16/GF16)</f>
        <v>0.43152521477802941</v>
      </c>
      <c r="GH16" s="1">
        <f>EXP(GG16)</f>
        <v>1.5396039603960396</v>
      </c>
      <c r="GU16">
        <f>LN(AN18/AN16)</f>
        <v>-0.10536051565782628</v>
      </c>
      <c r="GV16">
        <f>SQRT($A18-$A16)</f>
        <v>1.4142135623730951</v>
      </c>
      <c r="GW16" s="1">
        <f>(GU16/GV16)</f>
        <v>-7.4501135090960374E-2</v>
      </c>
      <c r="GX16" s="1">
        <f>EXP(GW16)</f>
        <v>0.92820642045966817</v>
      </c>
      <c r="GY16">
        <f t="shared" si="23"/>
        <v>8.1493034251183011E-2</v>
      </c>
      <c r="GZ16">
        <f>SQRT($A17-$A16)</f>
        <v>1</v>
      </c>
      <c r="HA16" s="1">
        <f t="shared" si="24"/>
        <v>8.1493034251183011E-2</v>
      </c>
      <c r="HB16" s="1">
        <f t="shared" si="14"/>
        <v>1.0849056603773586</v>
      </c>
      <c r="HO16">
        <f t="shared" si="33"/>
        <v>0.17435338714477774</v>
      </c>
      <c r="HP16">
        <f>SQRT($A17-$A16)</f>
        <v>1</v>
      </c>
      <c r="HQ16" s="1">
        <f t="shared" si="34"/>
        <v>0.17435338714477774</v>
      </c>
      <c r="HR16" s="1">
        <f t="shared" si="35"/>
        <v>1.1904761904761905</v>
      </c>
      <c r="HW16">
        <f t="shared" si="6"/>
        <v>6.2242308877221E-2</v>
      </c>
      <c r="HX16">
        <f t="shared" si="7"/>
        <v>1</v>
      </c>
      <c r="HY16" s="1">
        <f t="shared" si="8"/>
        <v>6.2242308877221E-2</v>
      </c>
      <c r="HZ16" s="1">
        <f t="shared" si="9"/>
        <v>1.0642201834862386</v>
      </c>
      <c r="IA16">
        <f>LN(AV18/AV16)</f>
        <v>0.13815033848081718</v>
      </c>
      <c r="IB16">
        <f>SQRT($A18-$A16)</f>
        <v>1.4142135623730951</v>
      </c>
      <c r="IC16" s="1">
        <f t="shared" ref="IC16" si="38">(IA16/IB16)</f>
        <v>9.7687041163002655E-2</v>
      </c>
      <c r="ID16" s="1">
        <f t="shared" ref="ID16" si="39">EXP(IC16)</f>
        <v>1.1026176571662654</v>
      </c>
      <c r="IE16">
        <f>LN(AW18/AW16)</f>
        <v>0.10064352577968751</v>
      </c>
      <c r="IF16">
        <f>SQRT($A18-$A16)</f>
        <v>1.4142135623730951</v>
      </c>
      <c r="IG16" s="1">
        <f t="shared" si="37"/>
        <v>7.1165719561340143E-2</v>
      </c>
      <c r="IH16" s="1">
        <f t="shared" si="32"/>
        <v>1.0737591540208518</v>
      </c>
    </row>
    <row r="17" spans="1:242" x14ac:dyDescent="0.3">
      <c r="A17">
        <v>1997</v>
      </c>
      <c r="C17">
        <v>8499</v>
      </c>
      <c r="N17">
        <v>4482</v>
      </c>
      <c r="T17" s="2">
        <v>4017</v>
      </c>
      <c r="U17">
        <v>31613</v>
      </c>
      <c r="V17">
        <v>3626</v>
      </c>
      <c r="W17" s="2">
        <v>2206</v>
      </c>
      <c r="X17" s="2">
        <v>767</v>
      </c>
      <c r="AB17" s="2">
        <v>8</v>
      </c>
      <c r="AC17">
        <v>8371</v>
      </c>
      <c r="AD17">
        <v>59</v>
      </c>
      <c r="AE17">
        <v>303</v>
      </c>
      <c r="AG17">
        <v>134</v>
      </c>
      <c r="AH17">
        <v>322</v>
      </c>
      <c r="AI17">
        <v>28</v>
      </c>
      <c r="AJ17">
        <v>311</v>
      </c>
      <c r="AO17">
        <v>115</v>
      </c>
      <c r="AP17" s="2">
        <v>17</v>
      </c>
      <c r="AQ17" s="2">
        <v>25</v>
      </c>
      <c r="AS17" s="2">
        <v>250</v>
      </c>
      <c r="AT17" s="2">
        <v>45</v>
      </c>
      <c r="AU17">
        <v>232</v>
      </c>
      <c r="BC17">
        <f>LN(C18/C17)</f>
        <v>-0.14253080331524398</v>
      </c>
      <c r="BD17">
        <f>SQRT($A18-$A17)</f>
        <v>1</v>
      </c>
      <c r="BE17" s="1">
        <f>(BC17/BD17)</f>
        <v>-0.14253080331524398</v>
      </c>
      <c r="BF17" s="1">
        <f>EXP(BE17)</f>
        <v>0.86716084245205316</v>
      </c>
      <c r="CU17">
        <f>LN(N18/N17)</f>
        <v>-0.72212159312632485</v>
      </c>
      <c r="CV17">
        <f>SQRT($A18-$A17)</f>
        <v>1</v>
      </c>
      <c r="CW17" s="1">
        <f>(CU17/CV17)</f>
        <v>-0.72212159312632485</v>
      </c>
      <c r="CX17" s="1">
        <f>EXP(CW17)</f>
        <v>0.48572066041945561</v>
      </c>
      <c r="DS17">
        <f>LN(T21/T17)</f>
        <v>4.4787236810099787E-2</v>
      </c>
      <c r="DT17">
        <f>SQRT($A21-$A17)</f>
        <v>2</v>
      </c>
      <c r="DU17" s="1">
        <f>(DS17/DT17)</f>
        <v>2.2393618405049893E-2</v>
      </c>
      <c r="DV17" s="1">
        <f>EXP(DU17)</f>
        <v>1.0226462376397447</v>
      </c>
      <c r="DW17">
        <f t="shared" si="0"/>
        <v>-6.5253672568133941E-2</v>
      </c>
      <c r="DX17">
        <f t="shared" si="1"/>
        <v>1</v>
      </c>
      <c r="DY17" s="1">
        <f t="shared" si="10"/>
        <v>-6.5253672568133941E-2</v>
      </c>
      <c r="DZ17" s="1">
        <f t="shared" si="11"/>
        <v>0.9368297852149432</v>
      </c>
      <c r="EA17">
        <f>LN(V21/V17)</f>
        <v>0.32350538364492837</v>
      </c>
      <c r="EB17">
        <f>SQRT($A21-$A17)</f>
        <v>2</v>
      </c>
      <c r="EC17" s="1">
        <f>(EA17/EB17)</f>
        <v>0.16175269182246418</v>
      </c>
      <c r="ED17" s="1">
        <f>EXP(EC17)</f>
        <v>1.1755694774233085</v>
      </c>
      <c r="EE17">
        <f>LN(W21/W17)</f>
        <v>-0.25118491976554019</v>
      </c>
      <c r="EF17">
        <f>SQRT($A21-$A17)</f>
        <v>2</v>
      </c>
      <c r="EG17" s="1">
        <f>(EE17/EF17)</f>
        <v>-0.1255924598827701</v>
      </c>
      <c r="EH17" s="1">
        <f>EXP(EG17)</f>
        <v>0.88197421342461346</v>
      </c>
      <c r="EI17">
        <f>LN(X19/X17)</f>
        <v>-0.30743254986919727</v>
      </c>
      <c r="EJ17">
        <f>SQRT($A19-$A17)</f>
        <v>1.4142135623730951</v>
      </c>
      <c r="EK17" s="1">
        <f>(EI17/EJ17)</f>
        <v>-0.21738764076998082</v>
      </c>
      <c r="EL17" s="1">
        <f>EXP(EK17)</f>
        <v>0.80461800610065426</v>
      </c>
      <c r="EY17">
        <f>LN(AB22/AB17)</f>
        <v>1.2163953243244932</v>
      </c>
      <c r="EZ17">
        <f>SQRT($A22-$A17)</f>
        <v>2.2360679774997898</v>
      </c>
      <c r="FA17" s="1">
        <f>(EY17/EZ17)</f>
        <v>0.54398852654049401</v>
      </c>
      <c r="FB17" s="1">
        <f>EXP(FA17)</f>
        <v>1.7228648686771826</v>
      </c>
      <c r="FC17">
        <f t="shared" si="2"/>
        <v>5.7788698716395914E-2</v>
      </c>
      <c r="FD17">
        <f t="shared" si="3"/>
        <v>1</v>
      </c>
      <c r="FE17" s="1">
        <f t="shared" si="17"/>
        <v>5.7788698716395914E-2</v>
      </c>
      <c r="FF17" s="1">
        <f t="shared" si="18"/>
        <v>1.059491100226974</v>
      </c>
      <c r="FG17">
        <f>LN(AD26/AD17)</f>
        <v>-4.0775374439057197</v>
      </c>
      <c r="FH17">
        <f>SQRT($A26-$A17)</f>
        <v>3</v>
      </c>
      <c r="FI17" s="1">
        <f t="shared" ref="FI17" si="40">(FG17/FH17)</f>
        <v>-1.3591791479685733</v>
      </c>
      <c r="FJ17" s="1">
        <f t="shared" ref="FJ17" si="41">EXP(FI17)</f>
        <v>0.25687154396613643</v>
      </c>
      <c r="FK17">
        <f>LN(AE22/AE17)</f>
        <v>0.43259645215952824</v>
      </c>
      <c r="FL17">
        <f>SQRT($A22-$A17)</f>
        <v>2.2360679774997898</v>
      </c>
      <c r="FM17" s="1">
        <f>(FK17/FL17)</f>
        <v>0.19346301477078817</v>
      </c>
      <c r="FN17" s="1">
        <f>EXP(FM17)</f>
        <v>1.2134445061983523</v>
      </c>
      <c r="FS17">
        <f>LN(AG22/AG17)</f>
        <v>-0.42050298547270487</v>
      </c>
      <c r="FT17">
        <f>SQRT($A22-$A17)</f>
        <v>2.2360679774997898</v>
      </c>
      <c r="FU17" s="1">
        <f>(FS17/FT17)</f>
        <v>-0.18805465205171493</v>
      </c>
      <c r="FV17" s="1">
        <f>EXP(FU17)</f>
        <v>0.82856942297629921</v>
      </c>
      <c r="FW17">
        <f>LN(AH22/AH17)</f>
        <v>0.14434230872873821</v>
      </c>
      <c r="FX17">
        <f>SQRT($A22-$A17)</f>
        <v>2.2360679774997898</v>
      </c>
      <c r="FY17" s="1">
        <f>(FW17/FX17)</f>
        <v>6.455184286934397E-2</v>
      </c>
      <c r="FZ17" s="1">
        <f>EXP(FY17)</f>
        <v>1.0666808766085414</v>
      </c>
      <c r="GA17">
        <f>LN(AI26/AI17)</f>
        <v>0.93047536686611143</v>
      </c>
      <c r="GB17">
        <f>SQRT($A26-$A17)</f>
        <v>3</v>
      </c>
      <c r="GC17" s="1">
        <f>(GA17/GB17)</f>
        <v>0.31015845562203714</v>
      </c>
      <c r="GD17" s="1">
        <f>EXP(GC17)</f>
        <v>1.3636411736242071</v>
      </c>
      <c r="GE17">
        <f>LN(AJ18/AJ17)</f>
        <v>0.32166400674878282</v>
      </c>
      <c r="GF17">
        <f>SQRT($A18-$A17)</f>
        <v>1</v>
      </c>
      <c r="GG17" s="1">
        <f>(GE17/GF17)</f>
        <v>0.32166400674878282</v>
      </c>
      <c r="GH17" s="1">
        <f>EXP(GG17)</f>
        <v>1.3794212218649518</v>
      </c>
      <c r="GY17">
        <f>LN(AO20/AO17)</f>
        <v>0.12260232209233228</v>
      </c>
      <c r="GZ17">
        <f>SQRT($A20-$A17)</f>
        <v>1.7320508075688772</v>
      </c>
      <c r="HA17" s="1">
        <f t="shared" si="24"/>
        <v>7.0784483663281245E-2</v>
      </c>
      <c r="HB17" s="1">
        <f t="shared" si="14"/>
        <v>1.0733498765060672</v>
      </c>
      <c r="HC17">
        <f>LN(AP18/AP17)</f>
        <v>0.21130909366720696</v>
      </c>
      <c r="HD17">
        <f>SQRT($A18-$A17)</f>
        <v>1</v>
      </c>
      <c r="HE17" s="1">
        <f t="shared" ref="HE17" si="42">(HC17/HD17)</f>
        <v>0.21130909366720696</v>
      </c>
      <c r="HF17" s="1">
        <f t="shared" ref="HF17:HF20" si="43">EXP(HE17)</f>
        <v>1.2352941176470589</v>
      </c>
      <c r="HG17">
        <f>LN(AQ22/AQ17)</f>
        <v>0.11332868530700327</v>
      </c>
      <c r="HH17">
        <f>SQRT($A22-$A17)</f>
        <v>2.2360679774997898</v>
      </c>
      <c r="HI17" s="1">
        <f t="shared" ref="HI17" si="44">(HG17/HH17)</f>
        <v>5.0682128829428186E-2</v>
      </c>
      <c r="HJ17" s="1">
        <f t="shared" ref="HJ17" si="45">EXP(HI17)</f>
        <v>1.0519884433321114</v>
      </c>
      <c r="HO17">
        <f>LN(AS21/AS17)</f>
        <v>0.21511137961694549</v>
      </c>
      <c r="HP17">
        <f>SQRT($A21-$A17)</f>
        <v>2</v>
      </c>
      <c r="HQ17" s="1">
        <f t="shared" si="34"/>
        <v>0.10755568980847274</v>
      </c>
      <c r="HR17" s="1">
        <f t="shared" si="35"/>
        <v>1.1135528725660044</v>
      </c>
      <c r="HS17">
        <f>LN(AT22/AT17)</f>
        <v>0.30421137440299156</v>
      </c>
      <c r="HT17">
        <f>SQRT($A22-$A17)</f>
        <v>2.2360679774997898</v>
      </c>
      <c r="HU17" s="1">
        <f t="shared" ref="HU17" si="46">(HS17/HT17)</f>
        <v>0.13604746253874572</v>
      </c>
      <c r="HV17" s="1">
        <f t="shared" ref="HV17" si="47">EXP(HU17)</f>
        <v>1.1457362718565818</v>
      </c>
      <c r="HW17">
        <f>LN(AU18/AU17)</f>
        <v>0.15538144921339098</v>
      </c>
      <c r="HX17">
        <f t="shared" si="7"/>
        <v>1</v>
      </c>
      <c r="HY17" s="1">
        <f t="shared" ref="HY17" si="48">(HW17/HX17)</f>
        <v>0.15538144921339098</v>
      </c>
      <c r="HZ17" s="1">
        <f t="shared" ref="HZ17:HZ27" si="49">EXP(HY17)</f>
        <v>1.1681034482758621</v>
      </c>
    </row>
    <row r="18" spans="1:242" x14ac:dyDescent="0.3">
      <c r="A18">
        <v>1998</v>
      </c>
      <c r="C18">
        <v>7370</v>
      </c>
      <c r="K18">
        <v>2224</v>
      </c>
      <c r="L18" s="2">
        <v>0.1</v>
      </c>
      <c r="N18">
        <v>2177</v>
      </c>
      <c r="U18">
        <v>29616</v>
      </c>
      <c r="AA18">
        <v>4232</v>
      </c>
      <c r="AC18">
        <v>8869</v>
      </c>
      <c r="AJ18">
        <v>429</v>
      </c>
      <c r="AN18">
        <v>180</v>
      </c>
      <c r="AP18" s="2">
        <v>21</v>
      </c>
      <c r="AU18">
        <v>271</v>
      </c>
      <c r="AV18">
        <v>93</v>
      </c>
      <c r="AW18">
        <v>282</v>
      </c>
      <c r="BC18">
        <f>LN(C19/C18)</f>
        <v>-0.15670935524132684</v>
      </c>
      <c r="BD18">
        <f>SQRT($A19-$A18)</f>
        <v>1</v>
      </c>
      <c r="BE18" s="1">
        <f>(BC18/BD18)</f>
        <v>-0.15670935524132684</v>
      </c>
      <c r="BF18" s="1">
        <f>EXP(BE18)</f>
        <v>0.85495251017639073</v>
      </c>
      <c r="CI18">
        <f>LN(K24/K18)</f>
        <v>0.33177210241727523</v>
      </c>
      <c r="CJ18">
        <f>SQRT($A24-$A18)</f>
        <v>2.4494897427831779</v>
      </c>
      <c r="CK18" s="1">
        <f>(CI18/CJ18)</f>
        <v>0.1354453936354543</v>
      </c>
      <c r="CL18" s="1">
        <f>EXP(CK18)</f>
        <v>1.145046667291487</v>
      </c>
      <c r="CM18">
        <f>LN(L24/L18)</f>
        <v>5.9401712527204316</v>
      </c>
      <c r="CN18">
        <f>SQRT($A24-$A18)</f>
        <v>2.4494897427831779</v>
      </c>
      <c r="CO18" s="1">
        <f>(CM18/CN18)</f>
        <v>2.4250647589857</v>
      </c>
      <c r="CP18" s="1">
        <f>EXP(CO18)</f>
        <v>11.302961363892662</v>
      </c>
      <c r="CU18">
        <f>LN(N21/N18)</f>
        <v>0.53819231894427344</v>
      </c>
      <c r="CV18">
        <f>SQRT($A21-$A18)</f>
        <v>1.7320508075688772</v>
      </c>
      <c r="CW18" s="1">
        <f>(CU18/CV18)</f>
        <v>0.31072548021826524</v>
      </c>
      <c r="CX18" s="1">
        <f>EXP(CW18)</f>
        <v>1.3644146109683577</v>
      </c>
      <c r="DW18">
        <f t="shared" si="0"/>
        <v>0.1664331255862396</v>
      </c>
      <c r="DX18">
        <f t="shared" si="1"/>
        <v>1</v>
      </c>
      <c r="DY18" s="1">
        <f t="shared" si="10"/>
        <v>0.1664331255862396</v>
      </c>
      <c r="DZ18" s="1">
        <f t="shared" si="11"/>
        <v>1.1810845488924906</v>
      </c>
      <c r="EU18">
        <f>LN(AA21/AA18)</f>
        <v>0.16415983200798714</v>
      </c>
      <c r="EV18">
        <f>SQRT($A21-$A18)</f>
        <v>1.7320508075688772</v>
      </c>
      <c r="EW18" s="1">
        <f>(EU18/EV18)</f>
        <v>9.4777723199935132E-2</v>
      </c>
      <c r="EX18" s="1">
        <f>EXP(EW18)</f>
        <v>1.099414453638019</v>
      </c>
      <c r="FC18">
        <f t="shared" si="2"/>
        <v>3.1410384243126886E-2</v>
      </c>
      <c r="FD18">
        <f t="shared" si="3"/>
        <v>1</v>
      </c>
      <c r="FE18" s="1">
        <f t="shared" si="17"/>
        <v>3.1410384243126886E-2</v>
      </c>
      <c r="FF18" s="1">
        <f t="shared" si="18"/>
        <v>1.0319088961551472</v>
      </c>
      <c r="GE18">
        <f>LN(AJ22/AJ18)</f>
        <v>0.56790633450943184</v>
      </c>
      <c r="GF18">
        <f>SQRT($A22-$A18)</f>
        <v>2</v>
      </c>
      <c r="GG18" s="1">
        <f>(GE18/GF18)</f>
        <v>0.28395316725471592</v>
      </c>
      <c r="GH18" s="1">
        <f>EXP(GG18)</f>
        <v>1.3283707180485291</v>
      </c>
      <c r="GU18">
        <f>LN(AN19/AN18)</f>
        <v>0.13005312824819776</v>
      </c>
      <c r="GV18">
        <f>SQRT($A19-$A18)</f>
        <v>1</v>
      </c>
      <c r="GW18" s="1">
        <f>(GU18/GV18)</f>
        <v>0.13005312824819776</v>
      </c>
      <c r="GX18" s="1">
        <f>EXP(GW18)</f>
        <v>1.1388888888888888</v>
      </c>
      <c r="HC18">
        <f t="shared" ref="HC18:HC19" si="50">LN(AP19/AP18)</f>
        <v>-0.10008345855698253</v>
      </c>
      <c r="HD18">
        <f>SQRT($A19-$A18)</f>
        <v>1</v>
      </c>
      <c r="HE18" s="1">
        <f t="shared" ref="HE18:HE20" si="51">(HC18/HD18)</f>
        <v>-0.10008345855698253</v>
      </c>
      <c r="HF18" s="1">
        <f t="shared" si="43"/>
        <v>0.90476190476190477</v>
      </c>
      <c r="HW18">
        <f t="shared" ref="HW18:HW26" si="52">LN(AU19/AU18)</f>
        <v>4.6855417281505156E-2</v>
      </c>
      <c r="HX18">
        <f t="shared" si="7"/>
        <v>1</v>
      </c>
      <c r="HY18" s="1">
        <f t="shared" ref="HY18:HY27" si="53">(HW18/HX18)</f>
        <v>4.6855417281505156E-2</v>
      </c>
      <c r="HZ18" s="1">
        <f t="shared" si="49"/>
        <v>1.0479704797047971</v>
      </c>
      <c r="IA18">
        <f>LN(AV21/AV18)</f>
        <v>0.17693070815907824</v>
      </c>
      <c r="IB18">
        <f>SQRT($A21-$A18)</f>
        <v>1.7320508075688772</v>
      </c>
      <c r="IC18" s="1">
        <f t="shared" ref="IC18" si="54">(IA18/IB18)</f>
        <v>0.10215099198355494</v>
      </c>
      <c r="ID18" s="1">
        <f t="shared" ref="ID18" si="55">EXP(IC18)</f>
        <v>1.1075506903789056</v>
      </c>
      <c r="IE18">
        <f>LN(AW20/AW18)</f>
        <v>6.1875403718087453E-2</v>
      </c>
      <c r="IF18">
        <f>SQRT($A20-$A18)</f>
        <v>1.4142135623730951</v>
      </c>
      <c r="IG18" s="1">
        <f t="shared" ref="IG18" si="56">(IE18/IF18)</f>
        <v>4.3752517557714948E-2</v>
      </c>
      <c r="IH18" s="1">
        <f t="shared" si="32"/>
        <v>1.0447237721017808</v>
      </c>
    </row>
    <row r="19" spans="1:242" x14ac:dyDescent="0.3">
      <c r="A19">
        <v>1999</v>
      </c>
      <c r="C19">
        <v>6301</v>
      </c>
      <c r="P19">
        <v>5442</v>
      </c>
      <c r="Q19">
        <v>22053</v>
      </c>
      <c r="R19" s="2">
        <v>33</v>
      </c>
      <c r="S19" s="2">
        <v>66</v>
      </c>
      <c r="U19">
        <v>34979</v>
      </c>
      <c r="X19" s="2">
        <v>564</v>
      </c>
      <c r="AC19">
        <v>9152</v>
      </c>
      <c r="AN19">
        <v>205</v>
      </c>
      <c r="AP19" s="2">
        <v>19</v>
      </c>
      <c r="AU19">
        <v>284</v>
      </c>
      <c r="BC19">
        <f>LN(C22/C19)</f>
        <v>-0.34578382531457891</v>
      </c>
      <c r="BD19">
        <f>SQRT($A22-$A19)</f>
        <v>1.7320508075688772</v>
      </c>
      <c r="BE19" s="1">
        <f>(BC19/BD19)</f>
        <v>-0.19963838462679068</v>
      </c>
      <c r="BF19" s="1">
        <f>EXP(BE19)</f>
        <v>0.81902687224220827</v>
      </c>
      <c r="DC19">
        <f>LN(P21/P19)</f>
        <v>0.1055809985161773</v>
      </c>
      <c r="DD19">
        <f>SQRT($A21-$A19)</f>
        <v>1.4142135623730951</v>
      </c>
      <c r="DE19" s="1">
        <f>(DC19/DD19)</f>
        <v>7.4657040015235779E-2</v>
      </c>
      <c r="DF19" s="1">
        <f>EXP(DE19)</f>
        <v>1.0775145431366231</v>
      </c>
      <c r="DG19">
        <f>LN(Q21/Q19)</f>
        <v>0.40967335432402063</v>
      </c>
      <c r="DH19">
        <f>SQRT($A21-$A19)</f>
        <v>1.4142135623730951</v>
      </c>
      <c r="DI19" s="1">
        <f>(DG19/DH19)</f>
        <v>0.28968280691395421</v>
      </c>
      <c r="DJ19" s="1">
        <f>EXP(DI19)</f>
        <v>1.3360036496891174</v>
      </c>
      <c r="DK19">
        <f>LN(R21/R19)</f>
        <v>2.044755983691946</v>
      </c>
      <c r="DL19">
        <f>SQRT($A21-$A19)</f>
        <v>1.4142135623730951</v>
      </c>
      <c r="DM19" s="1">
        <f>(DK19/DL19)</f>
        <v>1.4458608219403446</v>
      </c>
      <c r="DN19" s="1">
        <f>EXP(DM19)</f>
        <v>4.2455051943005238</v>
      </c>
      <c r="DO19">
        <f>LN(S21/S19)</f>
        <v>1.0573693301340605</v>
      </c>
      <c r="DP19">
        <f>SQRT($A21-$A19)</f>
        <v>1.4142135623730951</v>
      </c>
      <c r="DQ19" s="1">
        <f>(DO19/DP19)</f>
        <v>0.74767302355647147</v>
      </c>
      <c r="DR19" s="1">
        <f>EXP(DQ19)</f>
        <v>2.1120795345862438</v>
      </c>
      <c r="DW19">
        <f>LN(U21/U19)</f>
        <v>0.24056151631240152</v>
      </c>
      <c r="DX19">
        <f>SQRT($A21-$A19)</f>
        <v>1.4142135623730951</v>
      </c>
      <c r="DY19" s="1">
        <f t="shared" si="10"/>
        <v>0.17010267947701738</v>
      </c>
      <c r="DZ19" s="1">
        <f t="shared" si="11"/>
        <v>1.1854265640511981</v>
      </c>
      <c r="EI19">
        <f>LN(X20/X19)</f>
        <v>-0.14064886039338662</v>
      </c>
      <c r="EJ19">
        <f>SQRT($A20-$A19)</f>
        <v>1</v>
      </c>
      <c r="EK19" s="1">
        <f>(EI19/EJ19)</f>
        <v>-0.14064886039338662</v>
      </c>
      <c r="EL19" s="1">
        <f>EXP(EK19)</f>
        <v>0.86879432624113473</v>
      </c>
      <c r="FC19">
        <f t="shared" si="2"/>
        <v>-9.0992590943122731E-2</v>
      </c>
      <c r="FD19">
        <f t="shared" si="3"/>
        <v>1</v>
      </c>
      <c r="FE19" s="1">
        <f t="shared" si="17"/>
        <v>-9.0992590943122731E-2</v>
      </c>
      <c r="FF19" s="1">
        <f t="shared" si="18"/>
        <v>0.91302447552447552</v>
      </c>
      <c r="GU19">
        <f>LN(AN22/AN19)</f>
        <v>-0.37425008876023996</v>
      </c>
      <c r="GV19">
        <f>SQRT($A22-$A19)</f>
        <v>1.7320508075688772</v>
      </c>
      <c r="GW19" s="1">
        <f>(GU19/GV19)</f>
        <v>-0.21607338948996588</v>
      </c>
      <c r="GX19" s="1">
        <f>EXP(GW19)</f>
        <v>0.8056761715404267</v>
      </c>
      <c r="HC19">
        <f t="shared" si="50"/>
        <v>0.55206858230003986</v>
      </c>
      <c r="HD19">
        <f>SQRT($A20-$A19)</f>
        <v>1</v>
      </c>
      <c r="HE19" s="1">
        <f t="shared" si="51"/>
        <v>0.55206858230003986</v>
      </c>
      <c r="HF19" s="1">
        <f t="shared" si="43"/>
        <v>1.736842105263158</v>
      </c>
      <c r="HW19">
        <f t="shared" si="52"/>
        <v>0.10676797542570614</v>
      </c>
      <c r="HX19">
        <f t="shared" si="7"/>
        <v>1</v>
      </c>
      <c r="HY19" s="1">
        <f t="shared" si="53"/>
        <v>0.10676797542570614</v>
      </c>
      <c r="HZ19" s="1">
        <f t="shared" si="49"/>
        <v>1.1126760563380282</v>
      </c>
    </row>
    <row r="20" spans="1:242" x14ac:dyDescent="0.3">
      <c r="A20">
        <v>2000</v>
      </c>
      <c r="B20">
        <v>1599</v>
      </c>
      <c r="X20" s="2">
        <v>490</v>
      </c>
      <c r="Z20" s="2">
        <v>0.1</v>
      </c>
      <c r="AC20">
        <v>8356</v>
      </c>
      <c r="AO20">
        <v>130</v>
      </c>
      <c r="AP20" s="2">
        <v>33</v>
      </c>
      <c r="AU20">
        <v>316</v>
      </c>
      <c r="AW20">
        <v>300</v>
      </c>
      <c r="AY20">
        <f>LN(B21/B20)</f>
        <v>0.85237740613050228</v>
      </c>
      <c r="AZ20">
        <f>SQRT($A21-$A20)</f>
        <v>1</v>
      </c>
      <c r="BA20" s="1">
        <f>(AY20/AZ20)</f>
        <v>0.85237740613050228</v>
      </c>
      <c r="BB20" s="1">
        <f>EXP(BA20)</f>
        <v>2.3452157598499062</v>
      </c>
      <c r="DY20" s="1"/>
      <c r="DZ20" s="1"/>
      <c r="EI20">
        <f>LN(X21/X20)</f>
        <v>0.38206417794355191</v>
      </c>
      <c r="EJ20">
        <f>SQRT($A21-$A20)</f>
        <v>1</v>
      </c>
      <c r="EK20" s="1">
        <f>(EI20/EJ20)</f>
        <v>0.38206417794355191</v>
      </c>
      <c r="EL20" s="1">
        <f>EXP(EK20)</f>
        <v>1.4653061224489796</v>
      </c>
      <c r="EQ20">
        <f>LN(Z21/Z20)</f>
        <v>4.7004803657924166</v>
      </c>
      <c r="ER20">
        <f>SQRT($A21-$A20)</f>
        <v>1</v>
      </c>
      <c r="ES20" s="1">
        <f>(EQ20/ER20)</f>
        <v>4.7004803657924166</v>
      </c>
      <c r="ET20" s="1">
        <f>EXP(ES20)</f>
        <v>110.00000000000004</v>
      </c>
      <c r="FC20">
        <f t="shared" si="2"/>
        <v>0.10445057569896583</v>
      </c>
      <c r="FD20">
        <f t="shared" si="3"/>
        <v>1</v>
      </c>
      <c r="FE20" s="1">
        <f t="shared" si="17"/>
        <v>0.10445057569896583</v>
      </c>
      <c r="FF20" s="1">
        <f t="shared" si="18"/>
        <v>1.1101005265677357</v>
      </c>
      <c r="GY20">
        <f t="shared" ref="GY20:GY21" si="57">LN(AO21/AO20)</f>
        <v>7.4107972153721835E-2</v>
      </c>
      <c r="GZ20">
        <f>SQRT($A21-$A20)</f>
        <v>1</v>
      </c>
      <c r="HA20" s="1">
        <f t="shared" ref="HA20:HA22" si="58">(GY20/GZ20)</f>
        <v>7.4107972153721835E-2</v>
      </c>
      <c r="HB20" s="1">
        <f t="shared" ref="HB20:HB35" si="59">EXP(HA20)</f>
        <v>1.0769230769230769</v>
      </c>
      <c r="HC20">
        <f>LN(AP25/AP20)</f>
        <v>0.3746934494414107</v>
      </c>
      <c r="HD20">
        <f>SQRT($A25-$A20)</f>
        <v>2.2360679774997898</v>
      </c>
      <c r="HE20" s="1">
        <f t="shared" si="51"/>
        <v>0.16756800473497499</v>
      </c>
      <c r="HF20" s="1">
        <f t="shared" si="43"/>
        <v>1.1824256979970549</v>
      </c>
      <c r="HW20">
        <f>LN(AU22/AU20)</f>
        <v>7.3203404023294921E-2</v>
      </c>
      <c r="HX20">
        <f>SQRT($A22-$A20)</f>
        <v>1.4142135623730951</v>
      </c>
      <c r="HY20" s="1">
        <f t="shared" si="53"/>
        <v>5.1762623390810433E-2</v>
      </c>
      <c r="HZ20" s="1">
        <f t="shared" si="49"/>
        <v>1.0531257254266826</v>
      </c>
    </row>
    <row r="21" spans="1:242" x14ac:dyDescent="0.3">
      <c r="A21">
        <v>2001</v>
      </c>
      <c r="B21">
        <v>3750</v>
      </c>
      <c r="H21">
        <v>3708</v>
      </c>
      <c r="N21">
        <v>3729</v>
      </c>
      <c r="P21">
        <v>6048</v>
      </c>
      <c r="Q21">
        <v>33219</v>
      </c>
      <c r="R21" s="2">
        <v>255</v>
      </c>
      <c r="S21" s="2">
        <v>190</v>
      </c>
      <c r="T21" s="2">
        <v>4201</v>
      </c>
      <c r="U21">
        <v>44492</v>
      </c>
      <c r="V21">
        <v>5011</v>
      </c>
      <c r="W21" s="2">
        <v>1716</v>
      </c>
      <c r="X21" s="2">
        <v>718</v>
      </c>
      <c r="Z21" s="2">
        <v>11</v>
      </c>
      <c r="AA21">
        <v>4987</v>
      </c>
      <c r="AC21">
        <v>9276</v>
      </c>
      <c r="AO21">
        <v>140</v>
      </c>
      <c r="AR21" s="2">
        <v>24</v>
      </c>
      <c r="AS21" s="2">
        <v>310</v>
      </c>
      <c r="AV21">
        <v>111</v>
      </c>
      <c r="AW21">
        <v>389</v>
      </c>
      <c r="AY21">
        <f>LN(B23/B21)</f>
        <v>-0.14772691202945554</v>
      </c>
      <c r="AZ21">
        <f>SQRT($A23-$A21)</f>
        <v>1.4142135623730951</v>
      </c>
      <c r="BA21" s="1">
        <f>(AY21/AZ21)</f>
        <v>-0.10445870125977656</v>
      </c>
      <c r="BB21" s="1">
        <f>EXP(BA21)</f>
        <v>0.9008119990394261</v>
      </c>
      <c r="BW21">
        <f>LN(H23/H21)</f>
        <v>0.14462790434613437</v>
      </c>
      <c r="BX21">
        <f>SQRT($A23-$A21)</f>
        <v>1.4142135623730951</v>
      </c>
      <c r="BY21" s="1">
        <f>(BW21/BX21)</f>
        <v>0.10226737191195095</v>
      </c>
      <c r="BZ21" s="1">
        <f>EXP(BY21)</f>
        <v>1.1076795945497306</v>
      </c>
      <c r="CU21">
        <f>LN(N22/N21)</f>
        <v>-0.52904730779421061</v>
      </c>
      <c r="CV21">
        <f>SQRT($A22-$A21)</f>
        <v>1</v>
      </c>
      <c r="CW21" s="1">
        <f>(CU21/CV21)</f>
        <v>-0.52904730779421061</v>
      </c>
      <c r="CX21" s="1">
        <f>EXP(CW21)</f>
        <v>0.58916599624564225</v>
      </c>
      <c r="DC21">
        <f>LN(P22/P21)</f>
        <v>0.45806927132667979</v>
      </c>
      <c r="DD21">
        <f>SQRT($A22-$A21)</f>
        <v>1</v>
      </c>
      <c r="DE21" s="1">
        <f>(DC21/DD21)</f>
        <v>0.45806927132667979</v>
      </c>
      <c r="DF21" s="1">
        <f>EXP(DE21)</f>
        <v>1.5810185185185186</v>
      </c>
      <c r="DG21">
        <f>LN(Q22/Q21)</f>
        <v>-5.0028173933423591E-2</v>
      </c>
      <c r="DH21">
        <f>SQRT($A22-$A21)</f>
        <v>1</v>
      </c>
      <c r="DI21" s="1">
        <f>(DG21/DH21)</f>
        <v>-5.0028173933423591E-2</v>
      </c>
      <c r="DJ21" s="1">
        <f>EXP(DI21)</f>
        <v>0.95120262500376296</v>
      </c>
      <c r="DK21">
        <f>LN(R22/R21)</f>
        <v>-7.8438486381524717</v>
      </c>
      <c r="DL21">
        <f>SQRT($A22-$A21)</f>
        <v>1</v>
      </c>
      <c r="DM21" s="1">
        <f>(DK21/DL21)</f>
        <v>-7.8438486381524717</v>
      </c>
      <c r="DN21" s="1">
        <f>EXP(DM21)</f>
        <v>3.9215686274509808E-4</v>
      </c>
      <c r="DO21">
        <f>LN(S22/S21)</f>
        <v>0.57305885819187552</v>
      </c>
      <c r="DP21">
        <f>SQRT($A22-$A21)</f>
        <v>1</v>
      </c>
      <c r="DQ21" s="1">
        <f>(DO21/DP21)</f>
        <v>0.57305885819187552</v>
      </c>
      <c r="DR21" s="1">
        <f>EXP(DQ21)</f>
        <v>1.7736842105263158</v>
      </c>
      <c r="DS21">
        <f>LN(T27/T21)</f>
        <v>-0.8315532227785164</v>
      </c>
      <c r="DT21">
        <f>SQRT($A27-$A21)</f>
        <v>2.4494897427831779</v>
      </c>
      <c r="DU21" s="1">
        <f>(DS21/DT21)</f>
        <v>-0.3394801816290452</v>
      </c>
      <c r="DV21" s="1">
        <f>EXP(DU21)</f>
        <v>0.71214041023308172</v>
      </c>
      <c r="DW21">
        <f>LN(U27/U21)</f>
        <v>-0.25952284974967149</v>
      </c>
      <c r="DX21">
        <f>SQRT($A27-$A21)</f>
        <v>2.4494897427831779</v>
      </c>
      <c r="DY21" s="1">
        <f t="shared" si="10"/>
        <v>-0.10594975974661337</v>
      </c>
      <c r="DZ21" s="1">
        <f t="shared" si="11"/>
        <v>0.89946983653327583</v>
      </c>
      <c r="EA21">
        <f>LN(V26/V21)</f>
        <v>-0.48963225451890224</v>
      </c>
      <c r="EB21">
        <f>SQRT($A26-$A21)</f>
        <v>2.2360679774997898</v>
      </c>
      <c r="EC21" s="1">
        <f>(EA21/EB21)</f>
        <v>-0.21897020101614878</v>
      </c>
      <c r="ED21" s="1">
        <f>EXP(EC21)</f>
        <v>0.80334565668120328</v>
      </c>
      <c r="EE21">
        <f>LN(W26/W21)</f>
        <v>0.11492996667397702</v>
      </c>
      <c r="EF21">
        <f>SQRT($A26-$A21)</f>
        <v>2.2360679774997898</v>
      </c>
      <c r="EG21" s="1">
        <f>(EE21/EF21)</f>
        <v>5.1398243626959605E-2</v>
      </c>
      <c r="EH21" s="1">
        <f>EXP(EG21)</f>
        <v>1.0527420576281823</v>
      </c>
      <c r="EI21">
        <f>LN(X24/X21)</f>
        <v>-0.94884845535758711</v>
      </c>
      <c r="EJ21">
        <f>SQRT($A24-$A21)</f>
        <v>1.7320508075688772</v>
      </c>
      <c r="EK21" s="1">
        <f>(EI21/EJ21)</f>
        <v>-0.54781791112086353</v>
      </c>
      <c r="EL21" s="1">
        <f>EXP(EK21)</f>
        <v>0.57821014072185906</v>
      </c>
      <c r="EQ21">
        <f>LN(Z23/Z21)</f>
        <v>-1.7047480922384253</v>
      </c>
      <c r="ER21">
        <f>SQRT($A23-$A21)</f>
        <v>1.4142135623730951</v>
      </c>
      <c r="ES21" s="1">
        <f>(EQ21/ER21)</f>
        <v>-1.2054389362366205</v>
      </c>
      <c r="ET21" s="1">
        <f>EXP(ES21)</f>
        <v>0.29956048270069369</v>
      </c>
      <c r="EU21">
        <f>LN(AA27/AA21)</f>
        <v>0.26742616417581311</v>
      </c>
      <c r="EV21">
        <f>SQRT($A27-$A21)</f>
        <v>2.4494897427831779</v>
      </c>
      <c r="EW21" s="1">
        <f>(EU21/EV21)</f>
        <v>0.10917627435008408</v>
      </c>
      <c r="EX21" s="1">
        <f>EXP(EW21)</f>
        <v>1.1153589421865333</v>
      </c>
      <c r="FC21">
        <f t="shared" si="2"/>
        <v>0.12003243237884592</v>
      </c>
      <c r="FD21">
        <f t="shared" si="3"/>
        <v>1</v>
      </c>
      <c r="FE21" s="1">
        <f t="shared" si="17"/>
        <v>0.12003243237884592</v>
      </c>
      <c r="FF21" s="1">
        <f t="shared" si="18"/>
        <v>1.1275334195774041</v>
      </c>
      <c r="GY21">
        <f t="shared" si="57"/>
        <v>0.24574338323145062</v>
      </c>
      <c r="GZ21">
        <f>SQRT($A22-$A21)</f>
        <v>1</v>
      </c>
      <c r="HA21" s="1">
        <f t="shared" si="58"/>
        <v>0.24574338323145062</v>
      </c>
      <c r="HB21" s="1">
        <f t="shared" si="59"/>
        <v>1.2785714285714285</v>
      </c>
      <c r="HK21">
        <f>LN(AR22/AR21)</f>
        <v>0.25593337413720069</v>
      </c>
      <c r="HL21">
        <f>SQRT($A22-$A21)</f>
        <v>1</v>
      </c>
      <c r="HM21" s="1">
        <f t="shared" ref="HM21" si="60">(HK21/HL21)</f>
        <v>0.25593337413720069</v>
      </c>
      <c r="HN21" s="1">
        <f t="shared" ref="HN21:HN25" si="61">EXP(HM21)</f>
        <v>1.2916666666666667</v>
      </c>
      <c r="HO21">
        <f>LN(AS24/AS21)</f>
        <v>0.14116348430044715</v>
      </c>
      <c r="HP21">
        <f>SQRT($A24-$A21)</f>
        <v>1.7320508075688772</v>
      </c>
      <c r="HQ21" s="1">
        <f t="shared" ref="HQ21" si="62">(HO21/HP21)</f>
        <v>8.1500775660608676E-2</v>
      </c>
      <c r="HR21" s="1">
        <f t="shared" ref="HR21" si="63">EXP(HQ21)</f>
        <v>1.0849140591087727</v>
      </c>
      <c r="HY21" s="1"/>
      <c r="HZ21" s="1"/>
      <c r="IA21">
        <f>LN(AV22/AV21)</f>
        <v>0.3780661339200499</v>
      </c>
      <c r="IB21">
        <f t="shared" ref="IB21:IB34" si="64">SQRT($A22-$A21)</f>
        <v>1</v>
      </c>
      <c r="IC21" s="1">
        <f t="shared" ref="IC21" si="65">(IA21/IB21)</f>
        <v>0.3780661339200499</v>
      </c>
      <c r="ID21" s="1">
        <f t="shared" ref="ID21:ID35" si="66">EXP(IC21)</f>
        <v>1.4594594594594594</v>
      </c>
      <c r="IE21">
        <f t="shared" ref="IE21:IE34" si="67">LN(AW22/AW21)</f>
        <v>7.6824961720162108E-3</v>
      </c>
      <c r="IF21">
        <f t="shared" ref="IF21:IF34" si="68">SQRT($A22-$A21)</f>
        <v>1</v>
      </c>
      <c r="IG21" s="1">
        <f t="shared" ref="IG21:IG35" si="69">(IE21/IF21)</f>
        <v>7.6824961720162108E-3</v>
      </c>
      <c r="IH21" s="1">
        <f t="shared" ref="IH21:IH35" si="70">EXP(IG21)</f>
        <v>1.0077120822622108</v>
      </c>
    </row>
    <row r="22" spans="1:242" x14ac:dyDescent="0.3">
      <c r="A22">
        <v>2002</v>
      </c>
      <c r="C22">
        <v>4459</v>
      </c>
      <c r="F22">
        <v>117</v>
      </c>
      <c r="N22">
        <v>2197</v>
      </c>
      <c r="P22">
        <v>9562</v>
      </c>
      <c r="Q22">
        <v>31598</v>
      </c>
      <c r="R22" s="2">
        <v>0.1</v>
      </c>
      <c r="S22" s="2">
        <v>337</v>
      </c>
      <c r="Y22" s="2">
        <v>59</v>
      </c>
      <c r="AB22" s="2">
        <v>27</v>
      </c>
      <c r="AC22">
        <v>10459</v>
      </c>
      <c r="AE22">
        <v>467</v>
      </c>
      <c r="AF22">
        <v>80</v>
      </c>
      <c r="AG22">
        <v>88</v>
      </c>
      <c r="AH22">
        <v>372</v>
      </c>
      <c r="AJ22">
        <v>757</v>
      </c>
      <c r="AK22">
        <v>150</v>
      </c>
      <c r="AN22">
        <v>141</v>
      </c>
      <c r="AO22">
        <v>179</v>
      </c>
      <c r="AQ22" s="2">
        <v>28</v>
      </c>
      <c r="AR22" s="2">
        <v>31</v>
      </c>
      <c r="AT22" s="2">
        <v>61</v>
      </c>
      <c r="AU22">
        <v>340</v>
      </c>
      <c r="AV22">
        <v>162</v>
      </c>
      <c r="AW22">
        <v>392</v>
      </c>
      <c r="BC22">
        <f>LN(C29/C22)</f>
        <v>-9.0110994967366846E-3</v>
      </c>
      <c r="BD22">
        <f>SQRT($A29-$A22)</f>
        <v>2.6457513110645907</v>
      </c>
      <c r="BE22" s="1">
        <f>(BC22/BD22)</f>
        <v>-3.4058754725177936E-3</v>
      </c>
      <c r="BF22" s="1">
        <f>EXP(BE22)</f>
        <v>0.99659991794226654</v>
      </c>
      <c r="BO22">
        <f>LN(F25/F22)</f>
        <v>-0.70173092425133676</v>
      </c>
      <c r="BP22">
        <f>SQRT($A25-$A22)</f>
        <v>1.7320508075688772</v>
      </c>
      <c r="BQ22" s="1">
        <f>(BO22/BP22)</f>
        <v>-0.40514453801519418</v>
      </c>
      <c r="BR22" s="1">
        <f>EXP(BQ22)</f>
        <v>0.66688041432070233</v>
      </c>
      <c r="CU22">
        <f>LN(N24/N22)</f>
        <v>-0.34561724777127567</v>
      </c>
      <c r="CV22">
        <f>SQRT($A24-$A22)</f>
        <v>1.4142135623730951</v>
      </c>
      <c r="CW22" s="1">
        <f>(CU22/CV22)</f>
        <v>-0.24438829959410019</v>
      </c>
      <c r="CX22" s="1">
        <f>EXP(CW22)</f>
        <v>0.78318346539064232</v>
      </c>
      <c r="DC22">
        <f>LN(P23/P22)</f>
        <v>-0.48930606791521097</v>
      </c>
      <c r="DD22">
        <f>SQRT($A23-$A22)</f>
        <v>1</v>
      </c>
      <c r="DE22" s="1">
        <f>(DC22/DD22)</f>
        <v>-0.48930606791521097</v>
      </c>
      <c r="DF22" s="1">
        <f>EXP(DE22)</f>
        <v>0.61305166283204349</v>
      </c>
      <c r="DG22">
        <f>LN(Q23/Q22)</f>
        <v>-4.0363209974828819E-2</v>
      </c>
      <c r="DH22">
        <f>SQRT($A23-$A22)</f>
        <v>1</v>
      </c>
      <c r="DI22" s="1">
        <f t="shared" ref="DI22:DI24" si="71">(DG22/DH22)</f>
        <v>-4.0363209974828819E-2</v>
      </c>
      <c r="DJ22" s="1">
        <f t="shared" ref="DJ22:DJ24" si="72">EXP(DI22)</f>
        <v>0.96044053421102604</v>
      </c>
      <c r="DK22">
        <f>LN(R23/R22)</f>
        <v>8.0196127944002669</v>
      </c>
      <c r="DL22">
        <f>SQRT($A23-$A22)</f>
        <v>1</v>
      </c>
      <c r="DM22" s="1">
        <f>(DK22/DL22)</f>
        <v>8.0196127944002669</v>
      </c>
      <c r="DN22" s="1">
        <f>EXP(DM22)</f>
        <v>3039.9999999999986</v>
      </c>
      <c r="DO22">
        <f>LN(S23/S22)</f>
        <v>-0.8161366244069026</v>
      </c>
      <c r="DP22">
        <f>SQRT($A23-$A22)</f>
        <v>1</v>
      </c>
      <c r="DQ22" s="1">
        <f>(DO22/DP22)</f>
        <v>-0.8161366244069026</v>
      </c>
      <c r="DR22" s="1">
        <f>EXP(DQ22)</f>
        <v>0.44213649851632048</v>
      </c>
      <c r="EM22">
        <f>LN(Y25/Y22)</f>
        <v>3.3336420267591711E-2</v>
      </c>
      <c r="EN22">
        <f>SQRT($A25-$A22)</f>
        <v>1.7320508075688772</v>
      </c>
      <c r="EO22" s="1">
        <f>(EM22/EN22)</f>
        <v>1.9246791215312573E-2</v>
      </c>
      <c r="EP22" s="1">
        <f>EXP(EO22)</f>
        <v>1.0194332047347379</v>
      </c>
      <c r="EY22">
        <f>LN(AB25/AB22)</f>
        <v>0.36772478012531734</v>
      </c>
      <c r="EZ22">
        <f>SQRT($A25-$A22)</f>
        <v>1.7320508075688772</v>
      </c>
      <c r="FA22" s="1">
        <f>(EY22/EZ22)</f>
        <v>0.21230600079304793</v>
      </c>
      <c r="FB22" s="1">
        <f>EXP(FA22)</f>
        <v>1.2365262051918373</v>
      </c>
      <c r="FC22">
        <f t="shared" si="2"/>
        <v>0.1097299594483534</v>
      </c>
      <c r="FD22">
        <f t="shared" si="3"/>
        <v>1</v>
      </c>
      <c r="FE22" s="1">
        <f t="shared" si="17"/>
        <v>0.1097299594483534</v>
      </c>
      <c r="FF22" s="1">
        <f t="shared" si="18"/>
        <v>1.1159766708098289</v>
      </c>
      <c r="FK22">
        <f>LN(AE24/AE22)</f>
        <v>-0.51870814397826015</v>
      </c>
      <c r="FL22">
        <f>SQRT($A24-$A22)</f>
        <v>1.4142135623730951</v>
      </c>
      <c r="FM22" s="1">
        <f>(FK22/FL22)</f>
        <v>-0.36678204606371578</v>
      </c>
      <c r="FN22" s="1">
        <f>EXP(FM22)</f>
        <v>0.69296066209040674</v>
      </c>
      <c r="FO22">
        <f>LN(AF24/AF22)</f>
        <v>1.1434263044579023</v>
      </c>
      <c r="FP22">
        <f>SQRT($A24-$A22)</f>
        <v>1.4142135623730951</v>
      </c>
      <c r="FQ22" s="1">
        <f>(FO22/FP22)</f>
        <v>0.80852449366925649</v>
      </c>
      <c r="FR22" s="1">
        <f>EXP(FQ22)</f>
        <v>2.2445936299896507</v>
      </c>
      <c r="FS22">
        <f>LN(AG24/AG22)</f>
        <v>0.53329847961804933</v>
      </c>
      <c r="FT22">
        <f>SQRT($A24-$A22)</f>
        <v>1.4142135623730951</v>
      </c>
      <c r="FU22" s="1">
        <f>(FS22/FT22)</f>
        <v>0.37709897133439846</v>
      </c>
      <c r="FV22" s="1">
        <f>EXP(FU22)</f>
        <v>1.4580486072467085</v>
      </c>
      <c r="FW22">
        <f>LN(AH24/AH22)</f>
        <v>-3.5571465784867654E-2</v>
      </c>
      <c r="FX22">
        <f>SQRT($A24-$A22)</f>
        <v>1.4142135623730951</v>
      </c>
      <c r="FY22" s="1">
        <f>(FW22/FX22)</f>
        <v>-2.5152824673225171E-2</v>
      </c>
      <c r="FZ22" s="1">
        <f>EXP(FY22)</f>
        <v>0.97516087199852064</v>
      </c>
      <c r="GE22">
        <f>LN(AJ26/AJ22)</f>
        <v>0.12407466516033097</v>
      </c>
      <c r="GF22">
        <f>SQRT($A26-$A22)</f>
        <v>2</v>
      </c>
      <c r="GG22" s="1">
        <f>(GE22/GF22)</f>
        <v>6.2037332580165486E-2</v>
      </c>
      <c r="GH22" s="1">
        <f>EXP(GG22)</f>
        <v>1.0640020659290041</v>
      </c>
      <c r="GI22">
        <f>LN(AK26/AK22)</f>
        <v>1.4350845252893227</v>
      </c>
      <c r="GJ22">
        <f>SQRT($A26-$A22)</f>
        <v>2</v>
      </c>
      <c r="GK22" s="1">
        <f>(GI22/GJ22)</f>
        <v>0.71754226264466137</v>
      </c>
      <c r="GL22" s="1">
        <f>EXP(GK22)</f>
        <v>2.0493901531919199</v>
      </c>
      <c r="GU22">
        <f>LN(AN24/AN22)</f>
        <v>-0.55431073570572942</v>
      </c>
      <c r="GV22">
        <f>SQRT($A24-$A22)</f>
        <v>1.4142135623730951</v>
      </c>
      <c r="GW22" s="1">
        <f>(GU22/GV22)</f>
        <v>-0.39195688010202534</v>
      </c>
      <c r="GX22" s="1">
        <f>EXP(GW22)</f>
        <v>0.67573325088126712</v>
      </c>
      <c r="GY22">
        <f>LN(AO24/AO22)</f>
        <v>5.5710450494554295E-3</v>
      </c>
      <c r="GZ22">
        <f>SQRT($A24-$A22)</f>
        <v>1.4142135623730951</v>
      </c>
      <c r="HA22" s="1">
        <f t="shared" si="58"/>
        <v>3.9393237327656786E-3</v>
      </c>
      <c r="HB22" s="1">
        <f t="shared" si="59"/>
        <v>1.0039470930671259</v>
      </c>
      <c r="HG22">
        <f>LN(AQ25/AQ22)</f>
        <v>0.27871340246902049</v>
      </c>
      <c r="HH22">
        <f>SQRT($A25-$A22)</f>
        <v>1.7320508075688772</v>
      </c>
      <c r="HI22" s="1">
        <f t="shared" ref="HI22" si="73">(HG22/HH22)</f>
        <v>0.16091525794224548</v>
      </c>
      <c r="HJ22" s="1">
        <f t="shared" ref="HJ22" si="74">EXP(HI22)</f>
        <v>1.1745854278101153</v>
      </c>
      <c r="HK22">
        <f>LN(AR23/AR22)</f>
        <v>0.20359895524123955</v>
      </c>
      <c r="HL22">
        <f>SQRT($A23-$A22)</f>
        <v>1</v>
      </c>
      <c r="HM22" s="1">
        <f t="shared" ref="HM22" si="75">(HK22/HL22)</f>
        <v>0.20359895524123955</v>
      </c>
      <c r="HN22" s="1">
        <f t="shared" si="61"/>
        <v>1.2258064516129032</v>
      </c>
      <c r="HS22">
        <f>LN(AT25/AT22)</f>
        <v>0.31994293467000234</v>
      </c>
      <c r="HT22">
        <f>SQRT($A25-$A22)</f>
        <v>1.7320508075688772</v>
      </c>
      <c r="HU22" s="1">
        <f t="shared" ref="HU22" si="76">(HS22/HT22)</f>
        <v>0.18471913945704471</v>
      </c>
      <c r="HV22" s="1">
        <f t="shared" ref="HV22" si="77">EXP(HU22)</f>
        <v>1.202880550995391</v>
      </c>
      <c r="HW22">
        <f t="shared" si="52"/>
        <v>9.5310179804324935E-2</v>
      </c>
      <c r="HX22">
        <f>SQRT($A23-$A22)</f>
        <v>1</v>
      </c>
      <c r="HY22" s="1">
        <f t="shared" si="53"/>
        <v>9.5310179804324935E-2</v>
      </c>
      <c r="HZ22" s="1">
        <f t="shared" si="49"/>
        <v>1.1000000000000001</v>
      </c>
      <c r="IA22">
        <f t="shared" ref="IA22:IA34" si="78">LN(AV23/AV22)</f>
        <v>4.8202101817877686E-2</v>
      </c>
      <c r="IB22">
        <f t="shared" si="64"/>
        <v>1</v>
      </c>
      <c r="IC22" s="1">
        <f t="shared" ref="IC22:IC35" si="79">(IA22/IB22)</f>
        <v>4.8202101817877686E-2</v>
      </c>
      <c r="ID22" s="1">
        <f t="shared" si="66"/>
        <v>1.0493827160493827</v>
      </c>
      <c r="IE22">
        <f t="shared" si="67"/>
        <v>7.8471615441495307E-2</v>
      </c>
      <c r="IF22">
        <f t="shared" si="68"/>
        <v>1</v>
      </c>
      <c r="IG22" s="1">
        <f t="shared" si="69"/>
        <v>7.8471615441495307E-2</v>
      </c>
      <c r="IH22" s="1">
        <f t="shared" si="70"/>
        <v>1.0816326530612246</v>
      </c>
    </row>
    <row r="23" spans="1:242" x14ac:dyDescent="0.3">
      <c r="A23">
        <v>2003</v>
      </c>
      <c r="B23">
        <v>3235</v>
      </c>
      <c r="G23">
        <v>1477</v>
      </c>
      <c r="H23">
        <v>4285</v>
      </c>
      <c r="P23">
        <v>5862</v>
      </c>
      <c r="Q23">
        <v>30348</v>
      </c>
      <c r="R23" s="2">
        <v>304</v>
      </c>
      <c r="S23" s="2">
        <v>149</v>
      </c>
      <c r="Z23" s="2">
        <v>2</v>
      </c>
      <c r="AC23">
        <v>11672</v>
      </c>
      <c r="AR23" s="2">
        <v>38</v>
      </c>
      <c r="AU23">
        <v>374</v>
      </c>
      <c r="AV23">
        <v>170</v>
      </c>
      <c r="AW23">
        <v>424</v>
      </c>
      <c r="AY23">
        <f>LN(B27/B23)</f>
        <v>7.5012839740650206E-2</v>
      </c>
      <c r="AZ23">
        <f>SQRT($A27-$A23)</f>
        <v>2</v>
      </c>
      <c r="BA23" s="1">
        <f>(AY23/AZ23)</f>
        <v>3.7506419870325103E-2</v>
      </c>
      <c r="BB23" s="1">
        <f>EXP(BA23)</f>
        <v>1.0382186622896112</v>
      </c>
      <c r="BS23">
        <f>LN(G35/G23)</f>
        <v>-0.41738420034537471</v>
      </c>
      <c r="BT23">
        <f>SQRT($A35-$A23)</f>
        <v>3.4641016151377544</v>
      </c>
      <c r="BU23" s="1">
        <f>(BS23/BT23)</f>
        <v>-0.12048844021244939</v>
      </c>
      <c r="BV23" s="1">
        <f>EXP(BU23)</f>
        <v>0.88648733489140619</v>
      </c>
      <c r="BW23">
        <f>LN(H34/H23)</f>
        <v>-0.36185586970822875</v>
      </c>
      <c r="BX23">
        <f>SQRT($A34-$A23)</f>
        <v>3.3166247903553998</v>
      </c>
      <c r="BY23" s="1">
        <f>(BW23/BX23)</f>
        <v>-0.1091036498190841</v>
      </c>
      <c r="BZ23" s="1">
        <f>EXP(BY23)</f>
        <v>0.89663747636944335</v>
      </c>
      <c r="DC23">
        <f>LN(P24/P23)</f>
        <v>0.44449771689358886</v>
      </c>
      <c r="DD23">
        <f>SQRT($A24-$A23)</f>
        <v>1</v>
      </c>
      <c r="DE23" s="1">
        <f>(DC23/DD23)</f>
        <v>0.44449771689358886</v>
      </c>
      <c r="DF23" s="1">
        <f>EXP(DE23)</f>
        <v>1.5597065847833504</v>
      </c>
      <c r="DG23">
        <f>LN(Q24/Q23)</f>
        <v>6.1190445317856175E-2</v>
      </c>
      <c r="DH23">
        <f>SQRT($A24-$A23)</f>
        <v>1</v>
      </c>
      <c r="DI23" s="1">
        <f t="shared" si="71"/>
        <v>6.1190445317856175E-2</v>
      </c>
      <c r="DJ23" s="1">
        <f t="shared" si="72"/>
        <v>1.0631013575853434</v>
      </c>
      <c r="DK23">
        <f>LN(R24/R23)</f>
        <v>-0.22808997524953534</v>
      </c>
      <c r="DL23">
        <f>SQRT($A24-$A23)</f>
        <v>1</v>
      </c>
      <c r="DM23" s="1">
        <f>(DK23/DL23)</f>
        <v>-0.22808997524953534</v>
      </c>
      <c r="DN23" s="1">
        <f>EXP(DM23)</f>
        <v>0.79605263157894735</v>
      </c>
      <c r="DO23">
        <f>LN(S24/S23)</f>
        <v>1.7412900435389029</v>
      </c>
      <c r="DP23">
        <f>SQRT($A24-$A23)</f>
        <v>1</v>
      </c>
      <c r="DQ23" s="1">
        <f>(DO23/DP23)</f>
        <v>1.7412900435389029</v>
      </c>
      <c r="DR23" s="1">
        <f>EXP(DQ23)</f>
        <v>5.7046979865771812</v>
      </c>
      <c r="EQ23">
        <f>LN(Z27/Z23)</f>
        <v>3.8918202981106265</v>
      </c>
      <c r="ER23">
        <f>SQRT($A27-$A23)</f>
        <v>2</v>
      </c>
      <c r="ES23" s="1">
        <f>(EQ23/ER23)</f>
        <v>1.9459101490553132</v>
      </c>
      <c r="ET23" s="1">
        <f>EXP(ES23)</f>
        <v>6.9999999999999991</v>
      </c>
      <c r="FC23">
        <f t="shared" si="2"/>
        <v>-1.6325130426432296E-2</v>
      </c>
      <c r="FD23">
        <f t="shared" si="3"/>
        <v>1</v>
      </c>
      <c r="FE23" s="1">
        <f t="shared" si="17"/>
        <v>-1.6325130426432296E-2</v>
      </c>
      <c r="FF23" s="1">
        <f t="shared" si="18"/>
        <v>0.98380740233036323</v>
      </c>
      <c r="HK23">
        <f>LN(AR25/AR23)</f>
        <v>0.16907633004393391</v>
      </c>
      <c r="HL23">
        <f>SQRT($A25-$A23)</f>
        <v>1.4142135623730951</v>
      </c>
      <c r="HM23" s="1">
        <f t="shared" ref="HM23" si="80">(HK23/HL23)</f>
        <v>0.11955501951220046</v>
      </c>
      <c r="HN23" s="1">
        <f t="shared" si="61"/>
        <v>1.1269952490903044</v>
      </c>
      <c r="HW23">
        <f t="shared" si="52"/>
        <v>-0.19740804982733484</v>
      </c>
      <c r="HX23">
        <f>SQRT($A24-$A23)</f>
        <v>1</v>
      </c>
      <c r="HY23" s="1">
        <f t="shared" si="53"/>
        <v>-0.19740804982733484</v>
      </c>
      <c r="HZ23" s="1">
        <f t="shared" si="49"/>
        <v>0.82085561497326198</v>
      </c>
      <c r="IA23">
        <f t="shared" si="78"/>
        <v>-0.31551687144522494</v>
      </c>
      <c r="IB23">
        <f t="shared" si="64"/>
        <v>1</v>
      </c>
      <c r="IC23" s="1">
        <f t="shared" si="79"/>
        <v>-0.31551687144522494</v>
      </c>
      <c r="ID23" s="1">
        <f t="shared" si="66"/>
        <v>0.72941176470588232</v>
      </c>
      <c r="IE23">
        <f t="shared" si="67"/>
        <v>2.56125758567263E-2</v>
      </c>
      <c r="IF23">
        <f t="shared" si="68"/>
        <v>1</v>
      </c>
      <c r="IG23" s="1">
        <f t="shared" si="69"/>
        <v>2.56125758567263E-2</v>
      </c>
      <c r="IH23" s="1">
        <f t="shared" si="70"/>
        <v>1.0259433962264151</v>
      </c>
    </row>
    <row r="24" spans="1:242" x14ac:dyDescent="0.3">
      <c r="A24">
        <v>2004</v>
      </c>
      <c r="I24">
        <v>366</v>
      </c>
      <c r="K24">
        <v>3099</v>
      </c>
      <c r="L24" s="2">
        <v>38</v>
      </c>
      <c r="N24">
        <v>1555</v>
      </c>
      <c r="O24" s="2">
        <v>899</v>
      </c>
      <c r="P24">
        <v>9143</v>
      </c>
      <c r="Q24">
        <v>32263</v>
      </c>
      <c r="R24" s="2">
        <v>242</v>
      </c>
      <c r="S24" s="2">
        <v>850</v>
      </c>
      <c r="X24" s="2">
        <v>278</v>
      </c>
      <c r="AC24">
        <v>11483</v>
      </c>
      <c r="AE24">
        <v>278</v>
      </c>
      <c r="AF24">
        <v>251</v>
      </c>
      <c r="AG24">
        <v>150</v>
      </c>
      <c r="AH24">
        <v>359</v>
      </c>
      <c r="AN24">
        <v>81</v>
      </c>
      <c r="AO24">
        <v>180</v>
      </c>
      <c r="AS24" s="2">
        <v>357</v>
      </c>
      <c r="AU24">
        <v>307</v>
      </c>
      <c r="AV24">
        <v>124</v>
      </c>
      <c r="AW24">
        <v>435</v>
      </c>
      <c r="CA24">
        <f>LN(I25/I24)</f>
        <v>1.6077972229766404</v>
      </c>
      <c r="CB24">
        <f>SQRT($A25-$A24)</f>
        <v>1</v>
      </c>
      <c r="CC24" s="1">
        <f>(CA24/CB24)</f>
        <v>1.6077972229766404</v>
      </c>
      <c r="CD24" s="1">
        <f>EXP(CC24)</f>
        <v>4.9918032786885247</v>
      </c>
      <c r="CI24">
        <f>LN(K32/K24)</f>
        <v>-0.11766203620073336</v>
      </c>
      <c r="CJ24">
        <f>SQRT($A32-$A24)</f>
        <v>2.8284271247461903</v>
      </c>
      <c r="CK24" s="1">
        <f>(CI24/CJ24)</f>
        <v>-4.1599811842877796E-2</v>
      </c>
      <c r="CL24" s="1">
        <f>EXP(CK24)</f>
        <v>0.95925358569490216</v>
      </c>
      <c r="CM24">
        <f>LN(L25/L24)</f>
        <v>2.0391676425418961</v>
      </c>
      <c r="CN24">
        <f>SQRT($A25-$A24)</f>
        <v>1</v>
      </c>
      <c r="CO24" s="1">
        <f>(CM24/CN24)</f>
        <v>2.0391676425418961</v>
      </c>
      <c r="CP24" s="1">
        <f>EXP(CO24)</f>
        <v>7.6842105263157903</v>
      </c>
      <c r="CU24">
        <f>LN(N26/N24)</f>
        <v>0.47721231084267912</v>
      </c>
      <c r="CV24">
        <f>SQRT($A26-$A24)</f>
        <v>1.4142135623730951</v>
      </c>
      <c r="CW24" s="1">
        <f>(CU24/CV24)</f>
        <v>0.33744006106256097</v>
      </c>
      <c r="CX24" s="1">
        <f>EXP(CW24)</f>
        <v>1.4013556101083704</v>
      </c>
      <c r="CY24">
        <f>LN(O25/O24)</f>
        <v>-0.84803970018383601</v>
      </c>
      <c r="CZ24">
        <f>SQRT($A25-$A24)</f>
        <v>1</v>
      </c>
      <c r="DA24" s="1">
        <f>(CY24/CZ24)</f>
        <v>-0.84803970018383601</v>
      </c>
      <c r="DB24" s="1">
        <f>EXP(DA24)</f>
        <v>0.42825361512791993</v>
      </c>
      <c r="DC24">
        <f>LN(P30/P24)</f>
        <v>-2.1670278616830553E-2</v>
      </c>
      <c r="DD24">
        <f>SQRT($A30-$A24)</f>
        <v>2.4494897427831779</v>
      </c>
      <c r="DE24" s="1">
        <f>(DC24/DD24)</f>
        <v>-8.8468541991966795E-3</v>
      </c>
      <c r="DF24" s="1">
        <f>EXP(DE24)</f>
        <v>0.99119216406766286</v>
      </c>
      <c r="DG24">
        <f>LN(Q30/Q24)</f>
        <v>-8.8209638666976939E-2</v>
      </c>
      <c r="DH24">
        <f>SQRT($A30-$A24)</f>
        <v>2.4494897427831779</v>
      </c>
      <c r="DI24" s="1">
        <f t="shared" si="71"/>
        <v>-3.6011434188228407E-2</v>
      </c>
      <c r="DJ24" s="1">
        <f t="shared" si="72"/>
        <v>0.96462926366749324</v>
      </c>
      <c r="DK24">
        <f>LN(R30/R24)</f>
        <v>1.5507226237053893</v>
      </c>
      <c r="DL24">
        <f>SQRT($A30-$A24)</f>
        <v>2.4494897427831779</v>
      </c>
      <c r="DM24" s="1">
        <f>(DK24/DL24)</f>
        <v>0.63307986011136153</v>
      </c>
      <c r="DN24" s="1">
        <f>EXP(DM24)</f>
        <v>1.8834022714147964</v>
      </c>
      <c r="DO24">
        <f>LN(S30/S24)</f>
        <v>-0.13858616328614667</v>
      </c>
      <c r="DP24">
        <f>SQRT($A30-$A24)</f>
        <v>2.4494897427831779</v>
      </c>
      <c r="DQ24" s="1">
        <f>(DO24/DP24)</f>
        <v>-5.6577564243515163E-2</v>
      </c>
      <c r="DR24" s="1">
        <f>EXP(DQ24)</f>
        <v>0.94499318397099197</v>
      </c>
      <c r="EI24">
        <f>LN(X27/X24)</f>
        <v>0.80048415899395897</v>
      </c>
      <c r="EJ24">
        <f>SQRT($A27-$A24)</f>
        <v>1.7320508075688772</v>
      </c>
      <c r="EK24" s="1">
        <f>(EI24/EJ24)</f>
        <v>0.46215974467719345</v>
      </c>
      <c r="EL24" s="1">
        <f>EXP(EK24)</f>
        <v>1.587498877467215</v>
      </c>
      <c r="FC24">
        <f t="shared" si="2"/>
        <v>8.2217472568785727E-2</v>
      </c>
      <c r="FD24">
        <f t="shared" si="3"/>
        <v>1</v>
      </c>
      <c r="FE24" s="1">
        <f t="shared" si="17"/>
        <v>8.2217472568785727E-2</v>
      </c>
      <c r="FF24" s="1">
        <f t="shared" si="18"/>
        <v>1.0856918923626231</v>
      </c>
      <c r="FK24">
        <f t="shared" ref="FK24:FK34" si="81">LN(AE25/AE24)</f>
        <v>0.37626595341590213</v>
      </c>
      <c r="FL24">
        <f t="shared" ref="FL24:FL34" si="82">SQRT($A25-$A24)</f>
        <v>1</v>
      </c>
      <c r="FM24" s="1">
        <f>(FK24/FL24)</f>
        <v>0.37626595341590213</v>
      </c>
      <c r="FN24" s="1">
        <f>EXP(FM24)</f>
        <v>1.4568345323741008</v>
      </c>
      <c r="FO24">
        <f t="shared" ref="FO24:FO34" si="83">LN(AF25/AF24)</f>
        <v>0.19157476227443784</v>
      </c>
      <c r="FP24">
        <f t="shared" ref="FP24:FP34" si="84">SQRT($A25-$A24)</f>
        <v>1</v>
      </c>
      <c r="FQ24" s="1">
        <f>(FO24/FP24)</f>
        <v>0.19157476227443784</v>
      </c>
      <c r="FR24" s="1">
        <f>EXP(FQ24)</f>
        <v>1.2111553784860558</v>
      </c>
      <c r="FS24">
        <f>LN(AG26/AG24)</f>
        <v>-0.36624439495488303</v>
      </c>
      <c r="FT24">
        <f>SQRT($A26-$A24)</f>
        <v>1.4142135623730951</v>
      </c>
      <c r="FU24" s="1">
        <f>(FS24/FT24)</f>
        <v>-0.25897389524416198</v>
      </c>
      <c r="FV24" s="1">
        <f>EXP(FU24)</f>
        <v>0.7718431715582551</v>
      </c>
      <c r="FW24">
        <f t="shared" ref="FW24:FW34" si="85">LN(AH25/AH24)</f>
        <v>0.14736287177298446</v>
      </c>
      <c r="FX24">
        <f t="shared" ref="FX24:FX34" si="86">SQRT($A25-$A24)</f>
        <v>1</v>
      </c>
      <c r="FY24" s="1">
        <f>(FW24/FX24)</f>
        <v>0.14736287177298446</v>
      </c>
      <c r="FZ24" s="1">
        <f>EXP(FY24)</f>
        <v>1.158774373259053</v>
      </c>
      <c r="GU24">
        <f>LN(AN26/AN24)</f>
        <v>1.3453437575067955</v>
      </c>
      <c r="GV24">
        <f>SQRT($A26-$A24)</f>
        <v>1.4142135623730951</v>
      </c>
      <c r="GW24" s="1">
        <f>(GU24/GV24)</f>
        <v>0.95130169396004516</v>
      </c>
      <c r="GX24" s="1">
        <f>EXP(GW24)</f>
        <v>2.5890776535351114</v>
      </c>
      <c r="GY24">
        <f t="shared" ref="GY24:GY26" si="87">LN(AO25/AO24)</f>
        <v>-7.4963038473455229E-2</v>
      </c>
      <c r="GZ24">
        <f>SQRT($A25-$A24)</f>
        <v>1</v>
      </c>
      <c r="HA24" s="1">
        <f t="shared" ref="HA24:HA27" si="88">(GY24/GZ24)</f>
        <v>-7.4963038473455229E-2</v>
      </c>
      <c r="HB24" s="1">
        <f t="shared" si="59"/>
        <v>0.92777777777777781</v>
      </c>
      <c r="HO24">
        <f>LN(AS26/AS24)</f>
        <v>0.16251892949777494</v>
      </c>
      <c r="HP24">
        <f>SQRT($A26-$A24)</f>
        <v>1.4142135623730951</v>
      </c>
      <c r="HQ24" s="1">
        <f t="shared" ref="HQ24" si="89">(HO24/HP24)</f>
        <v>0.11491823711905508</v>
      </c>
      <c r="HR24" s="1">
        <f t="shared" ref="HR24" si="90">EXP(HQ24)</f>
        <v>1.1217817137174813</v>
      </c>
      <c r="HW24">
        <f t="shared" si="52"/>
        <v>9.7245498919947809E-3</v>
      </c>
      <c r="HX24">
        <f>SQRT($A25-$A24)</f>
        <v>1</v>
      </c>
      <c r="HY24" s="1">
        <f t="shared" si="53"/>
        <v>9.7245498919947809E-3</v>
      </c>
      <c r="HZ24" s="1">
        <f t="shared" si="49"/>
        <v>1.009771986970684</v>
      </c>
      <c r="IA24">
        <f t="shared" si="78"/>
        <v>9.2373320131015069E-2</v>
      </c>
      <c r="IB24">
        <f t="shared" si="64"/>
        <v>1</v>
      </c>
      <c r="IC24" s="1">
        <f t="shared" si="79"/>
        <v>9.2373320131015069E-2</v>
      </c>
      <c r="ID24" s="1">
        <f t="shared" si="66"/>
        <v>1.096774193548387</v>
      </c>
      <c r="IE24">
        <f t="shared" si="67"/>
        <v>2.4972920931379879E-2</v>
      </c>
      <c r="IF24">
        <f t="shared" si="68"/>
        <v>1</v>
      </c>
      <c r="IG24" s="1">
        <f t="shared" si="69"/>
        <v>2.4972920931379879E-2</v>
      </c>
      <c r="IH24" s="1">
        <f t="shared" si="70"/>
        <v>1.025287356321839</v>
      </c>
    </row>
    <row r="25" spans="1:242" x14ac:dyDescent="0.3">
      <c r="A25">
        <v>2005</v>
      </c>
      <c r="E25" s="2">
        <v>0.1</v>
      </c>
      <c r="F25">
        <v>58</v>
      </c>
      <c r="I25">
        <v>1827</v>
      </c>
      <c r="L25" s="2">
        <v>292</v>
      </c>
      <c r="M25" s="2">
        <v>532</v>
      </c>
      <c r="O25" s="2">
        <v>385</v>
      </c>
      <c r="Y25" s="2">
        <v>61</v>
      </c>
      <c r="AB25" s="2">
        <v>39</v>
      </c>
      <c r="AC25">
        <v>12467</v>
      </c>
      <c r="AE25">
        <v>405</v>
      </c>
      <c r="AF25">
        <v>304</v>
      </c>
      <c r="AH25">
        <v>416</v>
      </c>
      <c r="AO25">
        <v>167</v>
      </c>
      <c r="AP25" s="2">
        <v>48</v>
      </c>
      <c r="AQ25" s="2">
        <v>37</v>
      </c>
      <c r="AR25" s="2">
        <v>45</v>
      </c>
      <c r="AT25" s="2">
        <v>84</v>
      </c>
      <c r="AU25">
        <v>310</v>
      </c>
      <c r="AV25">
        <v>136</v>
      </c>
      <c r="AW25">
        <v>446</v>
      </c>
      <c r="BK25">
        <f>LN(E35/E25)</f>
        <v>0</v>
      </c>
      <c r="BL25">
        <f>SQRT($A35-$A25)</f>
        <v>3.1622776601683795</v>
      </c>
      <c r="BM25" s="1">
        <f>(BK25/BL25)</f>
        <v>0</v>
      </c>
      <c r="BN25" s="1">
        <f>EXP(BM25)</f>
        <v>1</v>
      </c>
      <c r="BO25">
        <f>LN(F34/F25)</f>
        <v>-0.37156355643248296</v>
      </c>
      <c r="BP25">
        <f>SQRT($A34-$A25)</f>
        <v>3</v>
      </c>
      <c r="BQ25" s="1">
        <f>(BO25/BP25)</f>
        <v>-0.12385451881082765</v>
      </c>
      <c r="BR25" s="1">
        <f>EXP(BQ25)</f>
        <v>0.88350836538121513</v>
      </c>
      <c r="CA25">
        <f>LN(I35/I25)</f>
        <v>0.37790394436064734</v>
      </c>
      <c r="CB25">
        <f>SQRT($A35-$A25)</f>
        <v>3.1622776601683795</v>
      </c>
      <c r="CC25" s="1">
        <f>(CA25/CB25)</f>
        <v>0.11950372009411891</v>
      </c>
      <c r="CD25" s="1">
        <f>EXP(CC25)</f>
        <v>1.1269374363727374</v>
      </c>
      <c r="CM25">
        <f>LN(L33/L25)</f>
        <v>8.529758051189501E-2</v>
      </c>
      <c r="CN25">
        <f>SQRT($A33-$A25)</f>
        <v>2.8284271247461903</v>
      </c>
      <c r="CO25" s="1">
        <f>(CM25/CN25)</f>
        <v>3.0157248799383231E-2</v>
      </c>
      <c r="CP25" s="1">
        <f>EXP(CO25)</f>
        <v>1.0306165844325879</v>
      </c>
      <c r="CQ25">
        <f>LN(M27/M25)</f>
        <v>1.2912191161222377</v>
      </c>
      <c r="CR25">
        <f>SQRT($A27-$A25)</f>
        <v>1.4142135623730951</v>
      </c>
      <c r="CS25" s="1">
        <f>(CQ25/CR25)</f>
        <v>0.91302979300773435</v>
      </c>
      <c r="CT25" s="1">
        <f>EXP(CS25)</f>
        <v>2.491860930550283</v>
      </c>
      <c r="CY25">
        <f>LN(O28/O25)</f>
        <v>1.8253868130380253</v>
      </c>
      <c r="CZ25">
        <f>SQRT($A28-$A25)</f>
        <v>1.7320508075688772</v>
      </c>
      <c r="DA25" s="1">
        <f>(CY25/CZ25)</f>
        <v>1.0538875678826971</v>
      </c>
      <c r="DB25" s="1">
        <f>EXP(DA25)</f>
        <v>2.8687820528834034</v>
      </c>
      <c r="EM25">
        <f>LN(Y27/Y25)</f>
        <v>0.10863384100279537</v>
      </c>
      <c r="EN25">
        <f>SQRT($A27-$A25)</f>
        <v>1.4142135623730951</v>
      </c>
      <c r="EO25" s="1">
        <f>(EM25/EN25)</f>
        <v>7.6815725639417812E-2</v>
      </c>
      <c r="EP25" s="1">
        <f>EXP(EO25)</f>
        <v>1.079843070665961</v>
      </c>
      <c r="EY25">
        <f>LN(AB26/AB25)</f>
        <v>0.32542240043462795</v>
      </c>
      <c r="EZ25">
        <f>SQRT($A26-$A25)</f>
        <v>1</v>
      </c>
      <c r="FA25" s="1">
        <f>(EY25/EZ25)</f>
        <v>0.32542240043462795</v>
      </c>
      <c r="FB25" s="1">
        <f>EXP(FA25)</f>
        <v>1.3846153846153846</v>
      </c>
      <c r="FC25">
        <f t="shared" si="2"/>
        <v>-3.1331618320369309E-3</v>
      </c>
      <c r="FD25">
        <f t="shared" si="3"/>
        <v>1</v>
      </c>
      <c r="FE25" s="1">
        <f t="shared" si="17"/>
        <v>-3.1331618320369309E-3</v>
      </c>
      <c r="FF25" s="1">
        <f t="shared" si="18"/>
        <v>0.99687174139728885</v>
      </c>
      <c r="FK25">
        <f t="shared" si="81"/>
        <v>0.15309191847901621</v>
      </c>
      <c r="FL25">
        <f t="shared" si="82"/>
        <v>1</v>
      </c>
      <c r="FM25" s="1">
        <f t="shared" ref="FM25:FM34" si="91">(FK25/FL25)</f>
        <v>0.15309191847901621</v>
      </c>
      <c r="FN25" s="1">
        <f t="shared" ref="FN25:FN34" si="92">EXP(FM25)</f>
        <v>1.1654320987654321</v>
      </c>
      <c r="FO25">
        <f t="shared" si="83"/>
        <v>0.4609164126443786</v>
      </c>
      <c r="FP25">
        <f t="shared" si="84"/>
        <v>1</v>
      </c>
      <c r="FQ25" s="1">
        <f t="shared" ref="FQ25:FQ34" si="93">(FO25/FP25)</f>
        <v>0.4609164126443786</v>
      </c>
      <c r="FR25" s="1">
        <f t="shared" ref="FR25:FR34" si="94">EXP(FQ25)</f>
        <v>1.5855263157894737</v>
      </c>
      <c r="FW25">
        <f t="shared" si="85"/>
        <v>0.51322658530352883</v>
      </c>
      <c r="FX25">
        <f t="shared" si="86"/>
        <v>1</v>
      </c>
      <c r="FY25" s="1">
        <f t="shared" ref="FY25:FY34" si="95">(FW25/FX25)</f>
        <v>0.51322658530352883</v>
      </c>
      <c r="FZ25" s="1">
        <f t="shared" ref="FZ25:FZ34" si="96">EXP(FY25)</f>
        <v>1.6706730769230769</v>
      </c>
      <c r="GY25">
        <f t="shared" si="87"/>
        <v>-0.28968007511445398</v>
      </c>
      <c r="GZ25">
        <f>SQRT($A26-$A25)</f>
        <v>1</v>
      </c>
      <c r="HA25" s="1">
        <f t="shared" si="88"/>
        <v>-0.28968007511445398</v>
      </c>
      <c r="HB25" s="1">
        <f t="shared" si="59"/>
        <v>0.74850299401197606</v>
      </c>
      <c r="HC25">
        <f>LN(AP31/AP25)</f>
        <v>0.49824684155913052</v>
      </c>
      <c r="HD25">
        <f>SQRT($A31-$A25)</f>
        <v>2.4494897427831779</v>
      </c>
      <c r="HE25" s="1">
        <f t="shared" ref="HE25" si="97">(HC25/HD25)</f>
        <v>0.20340842129553427</v>
      </c>
      <c r="HF25" s="1">
        <f t="shared" ref="HF25" si="98">EXP(HE25)</f>
        <v>1.2255729161219322</v>
      </c>
      <c r="HG25">
        <f>LN(AQ36/AQ25)</f>
        <v>1.1765738301378217</v>
      </c>
      <c r="HH25">
        <f>SQRT($A36-$A25)</f>
        <v>3.3166247903553998</v>
      </c>
      <c r="HI25" s="1">
        <f t="shared" ref="HI25" si="99">(HG25/HH25)</f>
        <v>0.35475035751986389</v>
      </c>
      <c r="HJ25" s="1">
        <f t="shared" ref="HJ25" si="100">EXP(HI25)</f>
        <v>1.4258246634428899</v>
      </c>
      <c r="HK25">
        <f>LN(AR36/AR25)</f>
        <v>0.81831032351395128</v>
      </c>
      <c r="HL25">
        <f>SQRT($A36-$A25)</f>
        <v>3.3166247903553998</v>
      </c>
      <c r="HM25" s="1">
        <f t="shared" ref="HM25" si="101">(HK25/HL25)</f>
        <v>0.24672984592455618</v>
      </c>
      <c r="HN25" s="1">
        <f t="shared" si="61"/>
        <v>1.279833313885248</v>
      </c>
      <c r="HS25">
        <f>LN(AT31/AT25)</f>
        <v>0.55278982286502287</v>
      </c>
      <c r="HT25">
        <f>SQRT($A31-$A25)</f>
        <v>2.4494897427831779</v>
      </c>
      <c r="HU25" s="1">
        <f t="shared" ref="HU25" si="102">(HS25/HT25)</f>
        <v>0.22567550017046725</v>
      </c>
      <c r="HV25" s="1">
        <f t="shared" ref="HV25" si="103">EXP(HU25)</f>
        <v>1.2531689461822053</v>
      </c>
      <c r="HW25">
        <f t="shared" si="52"/>
        <v>-5.2992530140510342E-2</v>
      </c>
      <c r="HX25">
        <f>SQRT($A26-$A25)</f>
        <v>1</v>
      </c>
      <c r="HY25" s="1">
        <f t="shared" si="53"/>
        <v>-5.2992530140510342E-2</v>
      </c>
      <c r="HZ25" s="1">
        <f t="shared" si="49"/>
        <v>0.94838709677419353</v>
      </c>
      <c r="IA25">
        <f t="shared" si="78"/>
        <v>3.6105004642116356E-2</v>
      </c>
      <c r="IB25">
        <f t="shared" si="64"/>
        <v>1</v>
      </c>
      <c r="IC25" s="1">
        <f t="shared" si="79"/>
        <v>3.6105004642116356E-2</v>
      </c>
      <c r="ID25" s="1">
        <f t="shared" si="66"/>
        <v>1.036764705882353</v>
      </c>
      <c r="IE25">
        <f t="shared" si="67"/>
        <v>5.6660033565491263E-2</v>
      </c>
      <c r="IF25">
        <f t="shared" si="68"/>
        <v>1</v>
      </c>
      <c r="IG25" s="1">
        <f t="shared" si="69"/>
        <v>5.6660033565491263E-2</v>
      </c>
      <c r="IH25" s="1">
        <f t="shared" si="70"/>
        <v>1.0582959641255605</v>
      </c>
    </row>
    <row r="26" spans="1:242" x14ac:dyDescent="0.3">
      <c r="A26">
        <v>2006</v>
      </c>
      <c r="N26">
        <v>2506</v>
      </c>
      <c r="V26">
        <v>3071</v>
      </c>
      <c r="W26" s="2">
        <v>1925</v>
      </c>
      <c r="AB26" s="2">
        <v>54</v>
      </c>
      <c r="AC26">
        <v>12428</v>
      </c>
      <c r="AD26">
        <v>1</v>
      </c>
      <c r="AE26">
        <v>472</v>
      </c>
      <c r="AF26">
        <v>482</v>
      </c>
      <c r="AG26">
        <v>104</v>
      </c>
      <c r="AH26">
        <v>695</v>
      </c>
      <c r="AI26">
        <v>71</v>
      </c>
      <c r="AJ26">
        <v>857</v>
      </c>
      <c r="AK26">
        <v>630</v>
      </c>
      <c r="AN26">
        <v>311</v>
      </c>
      <c r="AO26">
        <v>125</v>
      </c>
      <c r="AS26" s="2">
        <v>420</v>
      </c>
      <c r="AU26">
        <v>294</v>
      </c>
      <c r="AV26">
        <v>141</v>
      </c>
      <c r="AW26">
        <v>472</v>
      </c>
      <c r="CU26">
        <f>LN(N28/N26)</f>
        <v>5.9677917319062674E-3</v>
      </c>
      <c r="CV26">
        <f>SQRT($A28-$A26)</f>
        <v>1.4142135623730951</v>
      </c>
      <c r="CW26" s="1">
        <f>(CU26/CV26)</f>
        <v>4.2198660023399321E-3</v>
      </c>
      <c r="CX26" s="1">
        <f>EXP(CW26)</f>
        <v>1.0042287821741507</v>
      </c>
      <c r="EA26">
        <f>LN(V34/V26)</f>
        <v>-1.413693335308005</v>
      </c>
      <c r="EB26">
        <f>SQRT($A34-$A26)</f>
        <v>2.8284271247461903</v>
      </c>
      <c r="EC26" s="1">
        <f>(EA26/EB26)</f>
        <v>-0.49981607195725897</v>
      </c>
      <c r="ED26" s="1">
        <f>EXP(EC26)</f>
        <v>0.60664222796968781</v>
      </c>
      <c r="EE26">
        <f>LN(W34/W26)</f>
        <v>-1.0568971865936561</v>
      </c>
      <c r="EF26">
        <f>SQRT($A34-$A26)</f>
        <v>2.8284271247461903</v>
      </c>
      <c r="EG26" s="1">
        <f>(EE26/EF26)</f>
        <v>-0.37366958382867899</v>
      </c>
      <c r="EH26" s="1">
        <f>EXP(EG26)</f>
        <v>0.68820426808516655</v>
      </c>
      <c r="EY26">
        <f>LN(AB27/AB26)</f>
        <v>1.110882381259924</v>
      </c>
      <c r="EZ26">
        <f>SQRT($A27-$A26)</f>
        <v>1</v>
      </c>
      <c r="FA26" s="1">
        <f t="shared" ref="FA26:FA30" si="104">(EY26/EZ26)</f>
        <v>1.110882381259924</v>
      </c>
      <c r="FB26" s="1">
        <f t="shared" ref="FB26:FB30" si="105">EXP(FA26)</f>
        <v>3.0370370370370368</v>
      </c>
      <c r="FC26">
        <f t="shared" si="2"/>
        <v>6.124920190127877E-2</v>
      </c>
      <c r="FD26">
        <f t="shared" si="3"/>
        <v>1</v>
      </c>
      <c r="FE26" s="1">
        <f t="shared" si="17"/>
        <v>6.124920190127877E-2</v>
      </c>
      <c r="FF26" s="1">
        <f t="shared" si="18"/>
        <v>1.0631638236240746</v>
      </c>
      <c r="FG26">
        <f>LN(AD39/AD26)</f>
        <v>5.7493929859082531</v>
      </c>
      <c r="FH26">
        <f>SQRT($A39-$A26)</f>
        <v>3.6055512754639891</v>
      </c>
      <c r="FI26" s="1">
        <f t="shared" ref="FI26" si="106">(FG26/FH26)</f>
        <v>1.5945947087296322</v>
      </c>
      <c r="FJ26" s="1">
        <f t="shared" ref="FJ26" si="107">EXP(FI26)</f>
        <v>4.9263320680801828</v>
      </c>
      <c r="FK26">
        <f t="shared" si="81"/>
        <v>0.27435209634792335</v>
      </c>
      <c r="FL26">
        <f t="shared" si="82"/>
        <v>1</v>
      </c>
      <c r="FM26" s="1">
        <f t="shared" si="91"/>
        <v>0.27435209634792335</v>
      </c>
      <c r="FN26" s="1">
        <f t="shared" si="92"/>
        <v>1.3156779661016949</v>
      </c>
      <c r="FO26">
        <f t="shared" si="83"/>
        <v>-0.18398268674403107</v>
      </c>
      <c r="FP26">
        <f t="shared" si="84"/>
        <v>1</v>
      </c>
      <c r="FQ26" s="1">
        <f t="shared" si="93"/>
        <v>-0.18398268674403107</v>
      </c>
      <c r="FR26" s="1">
        <f t="shared" si="94"/>
        <v>0.83195020746887971</v>
      </c>
      <c r="FS26">
        <f t="shared" ref="FS26:FS34" si="108">LN(AG27/AG26)</f>
        <v>-0.48550781578170077</v>
      </c>
      <c r="FT26">
        <f t="shared" ref="FT26:FT34" si="109">SQRT($A27-$A26)</f>
        <v>1</v>
      </c>
      <c r="FU26" s="1">
        <f t="shared" ref="FU26:FU34" si="110">(FS26/FT26)</f>
        <v>-0.48550781578170077</v>
      </c>
      <c r="FV26" s="1">
        <f t="shared" ref="FV26:FV34" si="111">EXP(FU26)</f>
        <v>0.61538461538461542</v>
      </c>
      <c r="FW26">
        <f t="shared" si="85"/>
        <v>-0.2000314114384612</v>
      </c>
      <c r="FX26">
        <f t="shared" si="86"/>
        <v>1</v>
      </c>
      <c r="FY26" s="1">
        <f t="shared" si="95"/>
        <v>-0.2000314114384612</v>
      </c>
      <c r="FZ26" s="1">
        <f t="shared" si="96"/>
        <v>0.81870503597122302</v>
      </c>
      <c r="GA26">
        <f>LN(AI27/AI26)</f>
        <v>0.38171102210005725</v>
      </c>
      <c r="GB26">
        <f>SQRT($A27-$A26)</f>
        <v>1</v>
      </c>
      <c r="GC26" s="1">
        <f>(GA26/GB26)</f>
        <v>0.38171102210005725</v>
      </c>
      <c r="GD26" s="1">
        <f>EXP(GC26)</f>
        <v>1.4647887323943662</v>
      </c>
      <c r="GE26">
        <f>LN(AJ27/AJ26)</f>
        <v>0.48290142415656395</v>
      </c>
      <c r="GF26">
        <f>SQRT($A27-$A26)</f>
        <v>1</v>
      </c>
      <c r="GG26" s="1">
        <f t="shared" ref="GG26:GG30" si="112">(GE26/GF26)</f>
        <v>0.48290142415656395</v>
      </c>
      <c r="GH26" s="1">
        <f t="shared" ref="GH26:GH30" si="113">EXP(GG26)</f>
        <v>1.6207701283547258</v>
      </c>
      <c r="GI26">
        <f>LN(AK30/AK26)</f>
        <v>0.81620727331717247</v>
      </c>
      <c r="GJ26">
        <f>SQRT($A30-$A26)</f>
        <v>2</v>
      </c>
      <c r="GK26" s="1">
        <f>(GI26/GJ26)</f>
        <v>0.40810363665858623</v>
      </c>
      <c r="GL26" s="1">
        <f>EXP(GK26)</f>
        <v>1.5039630187955959</v>
      </c>
      <c r="GU26">
        <f>LN(AN28/AN26)</f>
        <v>0.11240956759524014</v>
      </c>
      <c r="GV26">
        <f>SQRT($A28-$A26)</f>
        <v>1.4142135623730951</v>
      </c>
      <c r="GW26" s="1">
        <f>(GU26/GV26)</f>
        <v>7.9485567516841882E-2</v>
      </c>
      <c r="GX26" s="1">
        <f>EXP(GW26)</f>
        <v>1.0827299329351521</v>
      </c>
      <c r="GY26">
        <f t="shared" si="87"/>
        <v>0.21511137961694549</v>
      </c>
      <c r="GZ26">
        <f>SQRT($A27-$A26)</f>
        <v>1</v>
      </c>
      <c r="HA26" s="1">
        <f t="shared" si="88"/>
        <v>0.21511137961694549</v>
      </c>
      <c r="HB26" s="1">
        <f t="shared" si="59"/>
        <v>1.24</v>
      </c>
      <c r="HO26">
        <f t="shared" ref="HO26:HO31" si="114">LN(AS27/AS26)</f>
        <v>2.3530497410194036E-2</v>
      </c>
      <c r="HP26">
        <f t="shared" ref="HP26:HP31" si="115">SQRT($A27-$A26)</f>
        <v>1</v>
      </c>
      <c r="HQ26" s="1">
        <f t="shared" ref="HQ26:HQ31" si="116">(HO26/HP26)</f>
        <v>2.3530497410194036E-2</v>
      </c>
      <c r="HR26" s="1">
        <f t="shared" ref="HR26:HR31" si="117">EXP(HQ26)</f>
        <v>1.0238095238095237</v>
      </c>
      <c r="HW26">
        <f t="shared" si="52"/>
        <v>7.216244624823058E-2</v>
      </c>
      <c r="HX26">
        <f>SQRT($A27-$A26)</f>
        <v>1</v>
      </c>
      <c r="HY26" s="1">
        <f t="shared" si="53"/>
        <v>7.216244624823058E-2</v>
      </c>
      <c r="HZ26" s="1">
        <f t="shared" si="49"/>
        <v>1.0748299319727892</v>
      </c>
      <c r="IA26">
        <f t="shared" si="78"/>
        <v>-0.16126814759612226</v>
      </c>
      <c r="IB26">
        <f t="shared" si="64"/>
        <v>1</v>
      </c>
      <c r="IC26" s="1">
        <f t="shared" si="79"/>
        <v>-0.16126814759612226</v>
      </c>
      <c r="ID26" s="1">
        <f t="shared" si="66"/>
        <v>0.85106382978723405</v>
      </c>
      <c r="IE26">
        <f t="shared" si="67"/>
        <v>-9.7855790003758561E-2</v>
      </c>
      <c r="IF26">
        <f t="shared" si="68"/>
        <v>1</v>
      </c>
      <c r="IG26" s="1">
        <f t="shared" si="69"/>
        <v>-9.7855790003758561E-2</v>
      </c>
      <c r="IH26" s="1">
        <f t="shared" si="70"/>
        <v>0.90677966101694918</v>
      </c>
    </row>
    <row r="27" spans="1:242" x14ac:dyDescent="0.3">
      <c r="A27">
        <v>2007</v>
      </c>
      <c r="B27">
        <v>3487</v>
      </c>
      <c r="M27" s="2">
        <v>1935</v>
      </c>
      <c r="T27" s="2">
        <v>1829</v>
      </c>
      <c r="U27">
        <v>34322</v>
      </c>
      <c r="X27" s="2">
        <v>619</v>
      </c>
      <c r="Y27" s="2">
        <v>68</v>
      </c>
      <c r="Z27" s="2">
        <v>98</v>
      </c>
      <c r="AA27">
        <v>6516</v>
      </c>
      <c r="AB27" s="2">
        <v>164</v>
      </c>
      <c r="AC27">
        <v>13213</v>
      </c>
      <c r="AE27">
        <v>621</v>
      </c>
      <c r="AF27">
        <v>401</v>
      </c>
      <c r="AG27">
        <v>64</v>
      </c>
      <c r="AH27">
        <v>569</v>
      </c>
      <c r="AI27">
        <v>104</v>
      </c>
      <c r="AJ27">
        <v>1389</v>
      </c>
      <c r="AO27">
        <v>155</v>
      </c>
      <c r="AS27" s="2">
        <v>430</v>
      </c>
      <c r="AU27">
        <v>316</v>
      </c>
      <c r="AV27">
        <v>120</v>
      </c>
      <c r="AW27">
        <v>428</v>
      </c>
      <c r="AY27">
        <f>LN(B29/B27)</f>
        <v>7.2447370060260877E-2</v>
      </c>
      <c r="AZ27">
        <f>SQRT($A29-$A27)</f>
        <v>1.4142135623730951</v>
      </c>
      <c r="BA27" s="1">
        <f>(AY27/AZ27)</f>
        <v>5.1228026648741716E-2</v>
      </c>
      <c r="BB27" s="1">
        <f>EXP(BA27)</f>
        <v>1.0525628783064038</v>
      </c>
      <c r="CQ27">
        <f>LN(M29/M27)</f>
        <v>-0.45553516075297085</v>
      </c>
      <c r="CR27">
        <f>SQRT($A29-$A27)</f>
        <v>1.4142135623730951</v>
      </c>
      <c r="CS27" s="1">
        <f>(CQ27/CR27)</f>
        <v>-0.32211200123732969</v>
      </c>
      <c r="CT27" s="1">
        <f>EXP(CS27)</f>
        <v>0.72461702778113313</v>
      </c>
      <c r="DS27">
        <f>LN(T34/T27)</f>
        <v>0.97376499401236349</v>
      </c>
      <c r="DT27">
        <f>SQRT($A34-$A27)</f>
        <v>2.6457513110645907</v>
      </c>
      <c r="DU27" s="1">
        <f>(DS27/DT27)</f>
        <v>0.36804857279671627</v>
      </c>
      <c r="DV27" s="1">
        <f>EXP(DU27)</f>
        <v>1.4449122206969727</v>
      </c>
      <c r="DW27">
        <f>LN(U34/U27)</f>
        <v>0.28950140591337326</v>
      </c>
      <c r="DX27">
        <f>SQRT($A34-$A27)</f>
        <v>2.6457513110645907</v>
      </c>
      <c r="DY27" s="1">
        <f t="shared" ref="DY27" si="118">(DW27/DX27)</f>
        <v>0.1094212463214785</v>
      </c>
      <c r="DZ27" s="1">
        <f t="shared" ref="DZ27" si="119">EXP(DY27)</f>
        <v>1.1156322073351976</v>
      </c>
      <c r="EI27">
        <f>LN(X28/X27)</f>
        <v>-0.26058878179625483</v>
      </c>
      <c r="EJ27">
        <f>SQRT($A28-$A27)</f>
        <v>1</v>
      </c>
      <c r="EK27" s="1">
        <f>(EI27/EJ27)</f>
        <v>-0.26058878179625483</v>
      </c>
      <c r="EL27" s="1">
        <f>EXP(EK27)</f>
        <v>0.77059773828756062</v>
      </c>
      <c r="EM27">
        <f>LN(Y29/Y27)</f>
        <v>0.35520327332727614</v>
      </c>
      <c r="EN27">
        <f>SQRT($A29-$A27)</f>
        <v>1.4142135623730951</v>
      </c>
      <c r="EO27" s="1">
        <f>(EM27/EN27)</f>
        <v>0.25116664326937566</v>
      </c>
      <c r="EP27" s="1">
        <f>EXP(EO27)</f>
        <v>1.2855242904533184</v>
      </c>
      <c r="EQ27">
        <f>LN(Z28/Z27)</f>
        <v>-0.17824823140631876</v>
      </c>
      <c r="ER27">
        <f>SQRT($A28-$A27)</f>
        <v>1</v>
      </c>
      <c r="ES27" s="1">
        <f>(EQ27/ER27)</f>
        <v>-0.17824823140631876</v>
      </c>
      <c r="ET27" s="1">
        <f>EXP(ES27)</f>
        <v>0.83673469387755106</v>
      </c>
      <c r="EU27">
        <f>LN(AA29/AA27)</f>
        <v>0.33653800662353861</v>
      </c>
      <c r="EV27">
        <f>SQRT($A29-$A27)</f>
        <v>1.4142135623730951</v>
      </c>
      <c r="EW27" s="1">
        <f>(EU27/EV27)</f>
        <v>0.23796830661050739</v>
      </c>
      <c r="EX27" s="1">
        <f>EXP(EW27)</f>
        <v>1.2686689837674938</v>
      </c>
      <c r="EY27">
        <f>LN(AB28/AB27)</f>
        <v>-0.68102582002760048</v>
      </c>
      <c r="EZ27">
        <f>SQRT($A28-$A27)</f>
        <v>1</v>
      </c>
      <c r="FA27" s="1">
        <f t="shared" si="104"/>
        <v>-0.68102582002760048</v>
      </c>
      <c r="FB27" s="1">
        <f t="shared" si="105"/>
        <v>0.50609756097560976</v>
      </c>
      <c r="FC27">
        <f t="shared" si="2"/>
        <v>7.4646906467728978E-3</v>
      </c>
      <c r="FD27">
        <f t="shared" si="3"/>
        <v>1</v>
      </c>
      <c r="FE27" s="1">
        <f t="shared" si="17"/>
        <v>7.4646906467728978E-3</v>
      </c>
      <c r="FF27" s="1">
        <f t="shared" si="18"/>
        <v>1.0074926209036554</v>
      </c>
      <c r="FK27">
        <f t="shared" si="81"/>
        <v>0.26446783512501293</v>
      </c>
      <c r="FL27">
        <f t="shared" si="82"/>
        <v>1</v>
      </c>
      <c r="FM27" s="1">
        <f t="shared" si="91"/>
        <v>0.26446783512501293</v>
      </c>
      <c r="FN27" s="1">
        <f t="shared" si="92"/>
        <v>1.3027375201288245</v>
      </c>
      <c r="FO27">
        <f t="shared" si="83"/>
        <v>-1.0452015369284009</v>
      </c>
      <c r="FP27">
        <f t="shared" si="84"/>
        <v>1</v>
      </c>
      <c r="FQ27" s="1">
        <f t="shared" si="93"/>
        <v>-1.0452015369284009</v>
      </c>
      <c r="FR27" s="1">
        <f t="shared" si="94"/>
        <v>0.35162094763092272</v>
      </c>
      <c r="FS27">
        <f t="shared" si="108"/>
        <v>0.95310470499687139</v>
      </c>
      <c r="FT27">
        <f t="shared" si="109"/>
        <v>1</v>
      </c>
      <c r="FU27" s="1">
        <f t="shared" si="110"/>
        <v>0.95310470499687139</v>
      </c>
      <c r="FV27" s="1">
        <f t="shared" si="111"/>
        <v>2.59375</v>
      </c>
      <c r="FW27">
        <f t="shared" si="85"/>
        <v>8.4224838558265208E-2</v>
      </c>
      <c r="FX27">
        <f t="shared" si="86"/>
        <v>1</v>
      </c>
      <c r="FY27" s="1">
        <f t="shared" si="95"/>
        <v>8.4224838558265208E-2</v>
      </c>
      <c r="FZ27" s="1">
        <f t="shared" si="96"/>
        <v>1.0878734622144113</v>
      </c>
      <c r="GA27">
        <f>LN(AI28/AI27)</f>
        <v>0.61829928976351289</v>
      </c>
      <c r="GB27">
        <f>SQRT($A28-$A27)</f>
        <v>1</v>
      </c>
      <c r="GC27" s="1">
        <f t="shared" ref="GC27:GC29" si="120">(GA27/GB27)</f>
        <v>0.61829928976351289</v>
      </c>
      <c r="GD27" s="1">
        <f t="shared" ref="GD27:GD29" si="121">EXP(GC27)</f>
        <v>1.8557692307692308</v>
      </c>
      <c r="GE27">
        <f>LN(AJ28/AJ27)</f>
        <v>-0.35801287446301877</v>
      </c>
      <c r="GF27">
        <f>SQRT($A28-$A27)</f>
        <v>1</v>
      </c>
      <c r="GG27" s="1">
        <f t="shared" si="112"/>
        <v>-0.35801287446301877</v>
      </c>
      <c r="GH27" s="1">
        <f t="shared" si="113"/>
        <v>0.69906407487401012</v>
      </c>
      <c r="GY27">
        <f>LN(AO29/AO27)</f>
        <v>-0.21511137961694557</v>
      </c>
      <c r="GZ27">
        <f>SQRT($A29-$A27)</f>
        <v>1.4142135623730951</v>
      </c>
      <c r="HA27" s="1">
        <f t="shared" si="88"/>
        <v>-0.15210671523753588</v>
      </c>
      <c r="HB27" s="1">
        <f t="shared" si="59"/>
        <v>0.85889661849366994</v>
      </c>
      <c r="HO27">
        <f t="shared" si="114"/>
        <v>0.15082288973458369</v>
      </c>
      <c r="HP27">
        <f t="shared" si="115"/>
        <v>1</v>
      </c>
      <c r="HQ27" s="1">
        <f t="shared" si="116"/>
        <v>0.15082288973458369</v>
      </c>
      <c r="HR27" s="1">
        <f t="shared" si="117"/>
        <v>1.1627906976744187</v>
      </c>
      <c r="HW27">
        <f>LN(AU31/AU27)</f>
        <v>0.13590199823885904</v>
      </c>
      <c r="HX27">
        <f>SQRT($A31-$A27)</f>
        <v>2</v>
      </c>
      <c r="HY27" s="1">
        <f t="shared" si="53"/>
        <v>6.795099911942952E-2</v>
      </c>
      <c r="HZ27" s="1">
        <f t="shared" si="49"/>
        <v>1.0703128609211257</v>
      </c>
      <c r="IA27">
        <f t="shared" si="78"/>
        <v>0.16833531481921474</v>
      </c>
      <c r="IB27">
        <f t="shared" si="64"/>
        <v>1</v>
      </c>
      <c r="IC27" s="1">
        <f t="shared" si="79"/>
        <v>0.16833531481921474</v>
      </c>
      <c r="ID27" s="1">
        <f t="shared" si="66"/>
        <v>1.1833333333333333</v>
      </c>
      <c r="IE27">
        <f t="shared" si="67"/>
        <v>0.41938644662677238</v>
      </c>
      <c r="IF27">
        <f t="shared" si="68"/>
        <v>1</v>
      </c>
      <c r="IG27" s="1">
        <f t="shared" si="69"/>
        <v>0.41938644662677238</v>
      </c>
      <c r="IH27" s="1">
        <f t="shared" si="70"/>
        <v>1.5210280373831775</v>
      </c>
    </row>
    <row r="28" spans="1:242" x14ac:dyDescent="0.3">
      <c r="A28">
        <v>2008</v>
      </c>
      <c r="N28">
        <v>2521</v>
      </c>
      <c r="O28" s="2">
        <v>2389</v>
      </c>
      <c r="X28" s="2">
        <v>477</v>
      </c>
      <c r="Z28" s="2">
        <v>82</v>
      </c>
      <c r="AB28" s="2">
        <v>83</v>
      </c>
      <c r="AC28">
        <v>13312</v>
      </c>
      <c r="AE28">
        <v>809</v>
      </c>
      <c r="AF28">
        <v>141</v>
      </c>
      <c r="AG28">
        <v>166</v>
      </c>
      <c r="AH28">
        <v>619</v>
      </c>
      <c r="AI28">
        <v>193</v>
      </c>
      <c r="AJ28">
        <v>971</v>
      </c>
      <c r="AN28">
        <v>348</v>
      </c>
      <c r="AS28" s="2">
        <v>500</v>
      </c>
      <c r="AV28">
        <v>142</v>
      </c>
      <c r="AW28">
        <v>651</v>
      </c>
      <c r="CU28">
        <f>LN(N31/N28)</f>
        <v>-0.10048020523943338</v>
      </c>
      <c r="CV28">
        <f>SQRT($A31-$A28)</f>
        <v>1.7320508075688772</v>
      </c>
      <c r="CW28" s="1">
        <f>(CU28/CV28)</f>
        <v>-5.8012273543215712E-2</v>
      </c>
      <c r="CX28" s="1">
        <f>EXP(CW28)</f>
        <v>0.94363836557946346</v>
      </c>
      <c r="CY28">
        <f>LN(O33/O28)</f>
        <v>-2.8882810191040558</v>
      </c>
      <c r="CZ28">
        <f>SQRT($A33-$A28)</f>
        <v>2.2360679774997898</v>
      </c>
      <c r="DA28" s="1">
        <f>(CY28/CZ28)</f>
        <v>-1.2916785393678074</v>
      </c>
      <c r="DB28" s="1">
        <f>EXP(DA28)</f>
        <v>0.27480911781359435</v>
      </c>
      <c r="EI28">
        <f>LN(X30/X28)</f>
        <v>-2.9789436802107098E-2</v>
      </c>
      <c r="EJ28">
        <f>SQRT($A30-$A28)</f>
        <v>1.4142135623730951</v>
      </c>
      <c r="EK28" s="1">
        <f>(EI28/EJ28)</f>
        <v>-2.1064312770498028E-2</v>
      </c>
      <c r="EL28" s="1">
        <f>EXP(EK28)</f>
        <v>0.97915599030997014</v>
      </c>
      <c r="EQ28">
        <f>LN(Z30/Z28)</f>
        <v>1.2280703559049966</v>
      </c>
      <c r="ER28">
        <f>SQRT($A30-$A28)</f>
        <v>1.4142135623730951</v>
      </c>
      <c r="ES28" s="1">
        <f>(EQ28/ER28)</f>
        <v>0.86837687643459993</v>
      </c>
      <c r="ET28" s="1">
        <f>EXP(ES28)</f>
        <v>2.3830397447632188</v>
      </c>
      <c r="EY28">
        <f>LN(AB29/AB28)</f>
        <v>0.51563332533409378</v>
      </c>
      <c r="EZ28">
        <f>SQRT($A29-$A28)</f>
        <v>1</v>
      </c>
      <c r="FA28" s="1">
        <f t="shared" si="104"/>
        <v>0.51563332533409378</v>
      </c>
      <c r="FB28" s="1">
        <f t="shared" si="105"/>
        <v>1.6746987951807228</v>
      </c>
      <c r="FC28">
        <f t="shared" si="2"/>
        <v>2.8729948755226421E-2</v>
      </c>
      <c r="FD28">
        <f t="shared" si="3"/>
        <v>1</v>
      </c>
      <c r="FE28" s="1">
        <f t="shared" si="17"/>
        <v>2.8729948755226421E-2</v>
      </c>
      <c r="FF28" s="1">
        <f t="shared" si="18"/>
        <v>1.0291466346153846</v>
      </c>
      <c r="FK28">
        <f t="shared" si="81"/>
        <v>-0.38770047554896114</v>
      </c>
      <c r="FL28">
        <f t="shared" si="82"/>
        <v>1</v>
      </c>
      <c r="FM28" s="1">
        <f t="shared" si="91"/>
        <v>-0.38770047554896114</v>
      </c>
      <c r="FN28" s="1">
        <f t="shared" si="92"/>
        <v>0.67861557478368351</v>
      </c>
      <c r="FO28">
        <f t="shared" si="83"/>
        <v>0.54017783577851819</v>
      </c>
      <c r="FP28">
        <f t="shared" si="84"/>
        <v>1</v>
      </c>
      <c r="FQ28" s="1">
        <f t="shared" si="93"/>
        <v>0.54017783577851819</v>
      </c>
      <c r="FR28" s="1">
        <f t="shared" si="94"/>
        <v>1.7163120567375887</v>
      </c>
      <c r="FS28">
        <f t="shared" si="108"/>
        <v>0.23987034511952329</v>
      </c>
      <c r="FT28">
        <f t="shared" si="109"/>
        <v>1</v>
      </c>
      <c r="FU28" s="1">
        <f t="shared" si="110"/>
        <v>0.23987034511952329</v>
      </c>
      <c r="FV28" s="1">
        <f t="shared" si="111"/>
        <v>1.2710843373493976</v>
      </c>
      <c r="FW28">
        <f t="shared" si="85"/>
        <v>-0.60505937720157721</v>
      </c>
      <c r="FX28">
        <f t="shared" si="86"/>
        <v>1</v>
      </c>
      <c r="FY28" s="1">
        <f t="shared" si="95"/>
        <v>-0.60505937720157721</v>
      </c>
      <c r="FZ28" s="1">
        <f t="shared" si="96"/>
        <v>0.54604200323101781</v>
      </c>
      <c r="GA28">
        <f>LN(AI29/AI28)</f>
        <v>0.13998719296739398</v>
      </c>
      <c r="GB28">
        <f>SQRT($A29-$A28)</f>
        <v>1</v>
      </c>
      <c r="GC28" s="1">
        <f t="shared" si="120"/>
        <v>0.13998719296739398</v>
      </c>
      <c r="GD28" s="1">
        <f t="shared" si="121"/>
        <v>1.150259067357513</v>
      </c>
      <c r="GE28">
        <f>LN(AJ29/AJ28)</f>
        <v>-0.13426728197997762</v>
      </c>
      <c r="GF28">
        <f>SQRT($A29-$A28)</f>
        <v>1</v>
      </c>
      <c r="GG28" s="1">
        <f t="shared" si="112"/>
        <v>-0.13426728197997762</v>
      </c>
      <c r="GH28" s="1">
        <f t="shared" si="113"/>
        <v>0.87435633367662202</v>
      </c>
      <c r="GU28">
        <f>LN(AN31/AN28)</f>
        <v>-0.4228568508200336</v>
      </c>
      <c r="GV28">
        <f>SQRT($A31-$A28)</f>
        <v>1.7320508075688772</v>
      </c>
      <c r="GW28" s="1">
        <f>(GU28/GV28)</f>
        <v>-0.24413651664962385</v>
      </c>
      <c r="GX28" s="1">
        <f>EXP(GW28)</f>
        <v>0.78338068245652848</v>
      </c>
      <c r="HO28">
        <f t="shared" si="114"/>
        <v>0</v>
      </c>
      <c r="HP28">
        <f t="shared" si="115"/>
        <v>1</v>
      </c>
      <c r="HQ28" s="1">
        <f t="shared" si="116"/>
        <v>0</v>
      </c>
      <c r="HR28" s="1">
        <f t="shared" si="117"/>
        <v>1</v>
      </c>
      <c r="IA28">
        <f t="shared" si="78"/>
        <v>2.7779564107075671E-2</v>
      </c>
      <c r="IB28">
        <f t="shared" si="64"/>
        <v>1</v>
      </c>
      <c r="IC28" s="1">
        <f t="shared" si="79"/>
        <v>2.7779564107075671E-2</v>
      </c>
      <c r="ID28" s="1">
        <f t="shared" si="66"/>
        <v>1.028169014084507</v>
      </c>
      <c r="IE28">
        <f t="shared" si="67"/>
        <v>-2.1739986636405875E-2</v>
      </c>
      <c r="IF28">
        <f t="shared" si="68"/>
        <v>1</v>
      </c>
      <c r="IG28" s="1">
        <f t="shared" si="69"/>
        <v>-2.1739986636405875E-2</v>
      </c>
      <c r="IH28" s="1">
        <f t="shared" si="70"/>
        <v>0.978494623655914</v>
      </c>
    </row>
    <row r="29" spans="1:242" x14ac:dyDescent="0.3">
      <c r="A29">
        <v>2009</v>
      </c>
      <c r="B29">
        <v>3749</v>
      </c>
      <c r="C29">
        <v>4419</v>
      </c>
      <c r="D29" s="2">
        <v>148</v>
      </c>
      <c r="M29" s="2">
        <v>1227</v>
      </c>
      <c r="Y29" s="2">
        <v>97</v>
      </c>
      <c r="AA29">
        <v>9123</v>
      </c>
      <c r="AB29" s="2">
        <v>139</v>
      </c>
      <c r="AC29">
        <v>13700</v>
      </c>
      <c r="AE29">
        <v>549</v>
      </c>
      <c r="AF29">
        <v>242</v>
      </c>
      <c r="AG29">
        <v>211</v>
      </c>
      <c r="AH29">
        <v>338</v>
      </c>
      <c r="AI29">
        <v>222</v>
      </c>
      <c r="AJ29">
        <v>849</v>
      </c>
      <c r="AO29">
        <v>125</v>
      </c>
      <c r="AS29" s="2">
        <v>500</v>
      </c>
      <c r="AV29">
        <v>146</v>
      </c>
      <c r="AW29">
        <v>637</v>
      </c>
      <c r="AY29">
        <f>LN(B31/B29)</f>
        <v>-0.44020401507843532</v>
      </c>
      <c r="AZ29">
        <f>SQRT($A31-$A29)</f>
        <v>1.4142135623730951</v>
      </c>
      <c r="BA29" s="1">
        <f>(AY29/AZ29)</f>
        <v>-0.31127124416750679</v>
      </c>
      <c r="BB29" s="1">
        <f>EXP(BA29)</f>
        <v>0.73251515845573967</v>
      </c>
      <c r="BC29">
        <f>LN(C32/C29)</f>
        <v>-0.70521334858079598</v>
      </c>
      <c r="BD29">
        <f>SQRT($A32-$A29)</f>
        <v>1.7320508075688772</v>
      </c>
      <c r="BE29" s="1">
        <f>(BC29/BD29)</f>
        <v>-0.40715511663923998</v>
      </c>
      <c r="BF29" s="1">
        <f>EXP(BE29)</f>
        <v>0.66554094581946754</v>
      </c>
      <c r="BG29">
        <f>LN(D32/D29)</f>
        <v>-2.7999876964278956</v>
      </c>
      <c r="BH29">
        <f>SQRT($A32-$A29)</f>
        <v>1.7320508075688772</v>
      </c>
      <c r="BI29" s="1">
        <f>(BG29/BH29)</f>
        <v>-1.6165736502602857</v>
      </c>
      <c r="BJ29" s="1">
        <f>EXP(BI29)</f>
        <v>0.19857793222034117</v>
      </c>
      <c r="EM29">
        <f>LN(Y31/Y29)</f>
        <v>7.9249371654140477E-2</v>
      </c>
      <c r="EN29">
        <f>SQRT($A31-$A29)</f>
        <v>1.4142135623730951</v>
      </c>
      <c r="EO29" s="1">
        <f>(EM29/EN29)</f>
        <v>5.603776810141569E-2</v>
      </c>
      <c r="EP29" s="1">
        <f>EXP(EO29)</f>
        <v>1.0576376279474913</v>
      </c>
      <c r="EU29">
        <f>LN(AA33/AA29)</f>
        <v>0.10677352543895677</v>
      </c>
      <c r="EV29">
        <f>SQRT($A33-$A29)</f>
        <v>2</v>
      </c>
      <c r="EW29" s="1">
        <f>(EU29/EV29)</f>
        <v>5.3386762719478384E-2</v>
      </c>
      <c r="EX29" s="1">
        <f>EXP(EW29)</f>
        <v>1.0548375380702097</v>
      </c>
      <c r="EY29">
        <f>LN(AB30/AB29)</f>
        <v>-0.64401449198230076</v>
      </c>
      <c r="EZ29">
        <f>SQRT($A30-$A29)</f>
        <v>1</v>
      </c>
      <c r="FA29" s="1">
        <f t="shared" si="104"/>
        <v>-0.64401449198230076</v>
      </c>
      <c r="FB29" s="1">
        <f t="shared" si="105"/>
        <v>0.52517985611510787</v>
      </c>
      <c r="FC29">
        <f t="shared" si="2"/>
        <v>3.6429912785010087E-3</v>
      </c>
      <c r="FD29">
        <f t="shared" si="3"/>
        <v>1</v>
      </c>
      <c r="FE29" s="1">
        <f t="shared" si="17"/>
        <v>3.6429912785010087E-3</v>
      </c>
      <c r="FF29" s="1">
        <f t="shared" si="18"/>
        <v>1.0036496350364963</v>
      </c>
      <c r="FK29">
        <f t="shared" si="81"/>
        <v>0.18262509299297666</v>
      </c>
      <c r="FL29">
        <f t="shared" si="82"/>
        <v>1</v>
      </c>
      <c r="FM29" s="1">
        <f t="shared" si="91"/>
        <v>0.18262509299297666</v>
      </c>
      <c r="FN29" s="1">
        <f t="shared" si="92"/>
        <v>1.2003642987249545</v>
      </c>
      <c r="FO29">
        <f t="shared" si="83"/>
        <v>-9.0775024638933624E-2</v>
      </c>
      <c r="FP29">
        <f t="shared" si="84"/>
        <v>1</v>
      </c>
      <c r="FQ29" s="1">
        <f t="shared" si="93"/>
        <v>-9.0775024638933624E-2</v>
      </c>
      <c r="FR29" s="1">
        <f t="shared" si="94"/>
        <v>0.91322314049586772</v>
      </c>
      <c r="FS29">
        <f t="shared" si="108"/>
        <v>-0.60692600511281647</v>
      </c>
      <c r="FT29">
        <f t="shared" si="109"/>
        <v>1</v>
      </c>
      <c r="FU29" s="1">
        <f t="shared" si="110"/>
        <v>-0.60692600511281647</v>
      </c>
      <c r="FV29" s="1">
        <f t="shared" si="111"/>
        <v>0.54502369668246442</v>
      </c>
      <c r="FW29">
        <f t="shared" si="85"/>
        <v>-0.26621783378348102</v>
      </c>
      <c r="FX29">
        <f t="shared" si="86"/>
        <v>1</v>
      </c>
      <c r="FY29" s="1">
        <f t="shared" si="95"/>
        <v>-0.26621783378348102</v>
      </c>
      <c r="FZ29" s="1">
        <f t="shared" si="96"/>
        <v>0.76627218934911245</v>
      </c>
      <c r="GA29">
        <f>LN(AI39/AI29)</f>
        <v>0.85307265988108738</v>
      </c>
      <c r="GB29">
        <f>SQRT($A39-$A29)</f>
        <v>3.1622776601683795</v>
      </c>
      <c r="GC29" s="1">
        <f t="shared" si="120"/>
        <v>0.26976526148423807</v>
      </c>
      <c r="GD29" s="1">
        <f t="shared" si="121"/>
        <v>1.3096569877105</v>
      </c>
      <c r="GE29">
        <f>LN(AJ30/AJ29)</f>
        <v>0.39480781363417644</v>
      </c>
      <c r="GF29">
        <f>SQRT($A30-$A29)</f>
        <v>1</v>
      </c>
      <c r="GG29" s="1">
        <f t="shared" si="112"/>
        <v>0.39480781363417644</v>
      </c>
      <c r="GH29" s="1">
        <f t="shared" si="113"/>
        <v>1.4840989399293287</v>
      </c>
      <c r="GY29">
        <f t="shared" ref="GY29:GY32" si="122">LN(AO30/AO29)</f>
        <v>0.23428129572466569</v>
      </c>
      <c r="GZ29">
        <f>SQRT($A30-$A29)</f>
        <v>1</v>
      </c>
      <c r="HA29" s="1">
        <f t="shared" ref="HA29:HA33" si="123">(GY29/GZ29)</f>
        <v>0.23428129572466569</v>
      </c>
      <c r="HB29" s="1">
        <f t="shared" si="59"/>
        <v>1.264</v>
      </c>
      <c r="HO29">
        <f t="shared" si="114"/>
        <v>9.5310179804324935E-2</v>
      </c>
      <c r="HP29">
        <f t="shared" si="115"/>
        <v>1</v>
      </c>
      <c r="HQ29" s="1">
        <f t="shared" si="116"/>
        <v>9.5310179804324935E-2</v>
      </c>
      <c r="HR29" s="1">
        <f t="shared" si="117"/>
        <v>1.1000000000000001</v>
      </c>
      <c r="IA29">
        <f t="shared" si="78"/>
        <v>0.35393145799298148</v>
      </c>
      <c r="IB29">
        <f t="shared" si="64"/>
        <v>1</v>
      </c>
      <c r="IC29" s="1">
        <f t="shared" si="79"/>
        <v>0.35393145799298148</v>
      </c>
      <c r="ID29" s="1">
        <f t="shared" si="66"/>
        <v>1.4246575342465753</v>
      </c>
      <c r="IE29">
        <f t="shared" si="67"/>
        <v>2.0202707317519469E-2</v>
      </c>
      <c r="IF29">
        <f t="shared" si="68"/>
        <v>1</v>
      </c>
      <c r="IG29" s="1">
        <f t="shared" si="69"/>
        <v>2.0202707317519469E-2</v>
      </c>
      <c r="IH29" s="1">
        <f t="shared" si="70"/>
        <v>1.0204081632653061</v>
      </c>
    </row>
    <row r="30" spans="1:242" x14ac:dyDescent="0.3">
      <c r="A30">
        <v>2010</v>
      </c>
      <c r="P30">
        <v>8947</v>
      </c>
      <c r="Q30">
        <v>29539</v>
      </c>
      <c r="R30" s="2">
        <v>1141</v>
      </c>
      <c r="S30" s="2">
        <v>740</v>
      </c>
      <c r="X30" s="2">
        <v>463</v>
      </c>
      <c r="Z30" s="2">
        <v>280</v>
      </c>
      <c r="AB30" s="2">
        <v>73</v>
      </c>
      <c r="AC30" s="3">
        <v>13750</v>
      </c>
      <c r="AD30" s="3"/>
      <c r="AE30">
        <v>659</v>
      </c>
      <c r="AF30">
        <v>221</v>
      </c>
      <c r="AG30">
        <v>115</v>
      </c>
      <c r="AH30">
        <v>259</v>
      </c>
      <c r="AI30" s="3"/>
      <c r="AJ30">
        <v>1260</v>
      </c>
      <c r="AK30">
        <v>1425</v>
      </c>
      <c r="AO30">
        <v>158</v>
      </c>
      <c r="AS30" s="2">
        <v>550</v>
      </c>
      <c r="AV30">
        <v>208</v>
      </c>
      <c r="AW30">
        <v>650</v>
      </c>
      <c r="DC30">
        <f>LN(P34/P30)</f>
        <v>0.11396317397632928</v>
      </c>
      <c r="DD30">
        <f>SQRT($A34-$A30)</f>
        <v>2</v>
      </c>
      <c r="DE30" s="1">
        <f>(DC30/DD30)</f>
        <v>5.6981586988164641E-2</v>
      </c>
      <c r="DF30" s="1">
        <f>EXP(DE30)</f>
        <v>1.0586363175329954</v>
      </c>
      <c r="DG30">
        <f>LN(Q31/Q30)</f>
        <v>-0.25030416850023451</v>
      </c>
      <c r="DH30">
        <f>SQRT($A31-$A30)</f>
        <v>1</v>
      </c>
      <c r="DI30" s="1">
        <f t="shared" ref="DI30:DI32" si="124">(DG30/DH30)</f>
        <v>-0.25030416850023451</v>
      </c>
      <c r="DJ30" s="1">
        <f t="shared" ref="DJ30:DJ34" si="125">EXP(DI30)</f>
        <v>0.77856393242831512</v>
      </c>
      <c r="DK30">
        <f>LN(R32/R30)</f>
        <v>-1.8193045247837507</v>
      </c>
      <c r="DL30">
        <f>SQRT($A32-$A30)</f>
        <v>1.4142135623730951</v>
      </c>
      <c r="DM30" s="1">
        <f>(DK30/DL30)</f>
        <v>-1.2864425665179593</v>
      </c>
      <c r="DN30" s="1">
        <f>EXP(DM30)</f>
        <v>0.27625178447916299</v>
      </c>
      <c r="DO30">
        <f>LN(S34/S30)</f>
        <v>0.60195015176198341</v>
      </c>
      <c r="DP30">
        <f>SQRT($A34-$A30)</f>
        <v>2</v>
      </c>
      <c r="DQ30" s="1">
        <f>(DO30/DP30)</f>
        <v>0.3009750758809917</v>
      </c>
      <c r="DR30" s="1">
        <f>EXP(DQ30)</f>
        <v>1.3511756642552721</v>
      </c>
      <c r="EI30">
        <f>LN(X32/X30)</f>
        <v>-0.36940605829246193</v>
      </c>
      <c r="EJ30">
        <f>SQRT($A32-$A30)</f>
        <v>1.4142135623730951</v>
      </c>
      <c r="EK30" s="1">
        <f>(EI30/EJ30)</f>
        <v>-0.26120952882999288</v>
      </c>
      <c r="EL30" s="1">
        <f>EXP(EK30)</f>
        <v>0.77011954046260922</v>
      </c>
      <c r="EQ30">
        <f>LN(Z32/Z30)</f>
        <v>-0.79060251671065829</v>
      </c>
      <c r="ER30">
        <f>SQRT($A32-$A30)</f>
        <v>1.4142135623730951</v>
      </c>
      <c r="ES30" s="1">
        <f>(EQ30/ER30)</f>
        <v>-0.55904040078925721</v>
      </c>
      <c r="ET30" s="1">
        <f>EXP(ES30)</f>
        <v>0.57175745869320171</v>
      </c>
      <c r="EY30">
        <f>LN(AB39/AB30)</f>
        <v>0.10398971352404764</v>
      </c>
      <c r="EZ30">
        <f>SQRT($A39-$A30)</f>
        <v>3</v>
      </c>
      <c r="FA30" s="1">
        <f t="shared" si="104"/>
        <v>3.4663237841349212E-2</v>
      </c>
      <c r="FB30" s="1">
        <f t="shared" si="105"/>
        <v>1.0352710099885243</v>
      </c>
      <c r="FC30">
        <f t="shared" si="2"/>
        <v>3.7330816535051138E-2</v>
      </c>
      <c r="FD30">
        <f t="shared" si="3"/>
        <v>1</v>
      </c>
      <c r="FE30" s="1">
        <f t="shared" si="17"/>
        <v>3.7330816535051138E-2</v>
      </c>
      <c r="FF30" s="1">
        <f t="shared" si="18"/>
        <v>1.0380363636363636</v>
      </c>
      <c r="FK30">
        <f t="shared" si="81"/>
        <v>0.15696483906082229</v>
      </c>
      <c r="FL30">
        <f t="shared" si="82"/>
        <v>1</v>
      </c>
      <c r="FM30" s="1">
        <f t="shared" si="91"/>
        <v>0.15696483906082229</v>
      </c>
      <c r="FN30" s="1">
        <f t="shared" si="92"/>
        <v>1.1699544764795144</v>
      </c>
      <c r="FO30">
        <f t="shared" si="83"/>
        <v>0.31886499988846889</v>
      </c>
      <c r="FP30">
        <f t="shared" si="84"/>
        <v>1</v>
      </c>
      <c r="FQ30" s="1">
        <f t="shared" si="93"/>
        <v>0.31886499988846889</v>
      </c>
      <c r="FR30" s="1">
        <f t="shared" si="94"/>
        <v>1.3755656108597285</v>
      </c>
      <c r="FS30">
        <f t="shared" si="108"/>
        <v>0.51256324366453143</v>
      </c>
      <c r="FT30">
        <f t="shared" si="109"/>
        <v>1</v>
      </c>
      <c r="FU30" s="1">
        <f t="shared" si="110"/>
        <v>0.51256324366453143</v>
      </c>
      <c r="FV30" s="1">
        <f t="shared" si="111"/>
        <v>1.6695652173913043</v>
      </c>
      <c r="FW30">
        <f t="shared" si="85"/>
        <v>0.39381449088818904</v>
      </c>
      <c r="FX30">
        <f t="shared" si="86"/>
        <v>1</v>
      </c>
      <c r="FY30" s="1">
        <f t="shared" si="95"/>
        <v>0.39381449088818904</v>
      </c>
      <c r="FZ30" s="1">
        <f t="shared" si="96"/>
        <v>1.4826254826254825</v>
      </c>
      <c r="GE30">
        <f>LN(AJ31/AJ30)</f>
        <v>-6.4750183748161369E-2</v>
      </c>
      <c r="GF30">
        <f>SQRT($A31-$A30)</f>
        <v>1</v>
      </c>
      <c r="GG30" s="1">
        <f t="shared" si="112"/>
        <v>-6.4750183748161369E-2</v>
      </c>
      <c r="GH30" s="1">
        <f t="shared" si="113"/>
        <v>0.9373015873015873</v>
      </c>
      <c r="GI30">
        <f>LN(AK34/AK30)</f>
        <v>-0.27628527506354267</v>
      </c>
      <c r="GJ30">
        <f>SQRT($A34-$A30)</f>
        <v>2</v>
      </c>
      <c r="GK30" s="1">
        <f>(GI30/GJ30)</f>
        <v>-0.13814263753177133</v>
      </c>
      <c r="GL30" s="1">
        <f>EXP(GK30)</f>
        <v>0.87097444923951139</v>
      </c>
      <c r="GY30">
        <f t="shared" si="122"/>
        <v>-0.51930025075696296</v>
      </c>
      <c r="GZ30">
        <f>SQRT($A31-$A30)</f>
        <v>1</v>
      </c>
      <c r="HA30" s="1">
        <f t="shared" si="123"/>
        <v>-0.51930025075696296</v>
      </c>
      <c r="HB30" s="1">
        <f t="shared" si="59"/>
        <v>0.59493670886075944</v>
      </c>
      <c r="HO30">
        <f t="shared" si="114"/>
        <v>8.7011376989629699E-2</v>
      </c>
      <c r="HP30">
        <f t="shared" si="115"/>
        <v>1</v>
      </c>
      <c r="HQ30" s="1">
        <f t="shared" si="116"/>
        <v>8.7011376989629699E-2</v>
      </c>
      <c r="HR30" s="1">
        <f t="shared" si="117"/>
        <v>1.0909090909090908</v>
      </c>
      <c r="IA30">
        <f t="shared" si="78"/>
        <v>-0.12805192685989705</v>
      </c>
      <c r="IB30">
        <f t="shared" si="64"/>
        <v>1</v>
      </c>
      <c r="IC30" s="1">
        <f t="shared" si="79"/>
        <v>-0.12805192685989705</v>
      </c>
      <c r="ID30" s="1">
        <f t="shared" si="66"/>
        <v>0.87980769230769229</v>
      </c>
      <c r="IE30">
        <f t="shared" si="67"/>
        <v>-2.0202707317519466E-2</v>
      </c>
      <c r="IF30">
        <f t="shared" si="68"/>
        <v>1</v>
      </c>
      <c r="IG30" s="1">
        <f t="shared" si="69"/>
        <v>-2.0202707317519466E-2</v>
      </c>
      <c r="IH30" s="1">
        <f t="shared" si="70"/>
        <v>0.98</v>
      </c>
    </row>
    <row r="31" spans="1:242" x14ac:dyDescent="0.3">
      <c r="A31">
        <v>2011</v>
      </c>
      <c r="B31">
        <v>2414</v>
      </c>
      <c r="N31">
        <v>2280</v>
      </c>
      <c r="Q31">
        <v>22998</v>
      </c>
      <c r="Y31" s="2">
        <v>105</v>
      </c>
      <c r="AC31" s="3">
        <v>14273</v>
      </c>
      <c r="AD31" s="3"/>
      <c r="AE31">
        <v>771</v>
      </c>
      <c r="AF31">
        <v>304</v>
      </c>
      <c r="AG31">
        <v>192</v>
      </c>
      <c r="AH31">
        <v>384</v>
      </c>
      <c r="AI31" s="3"/>
      <c r="AJ31">
        <v>1181</v>
      </c>
      <c r="AN31">
        <v>228</v>
      </c>
      <c r="AO31">
        <v>94</v>
      </c>
      <c r="AP31" s="2">
        <v>79</v>
      </c>
      <c r="AS31" s="2">
        <v>600</v>
      </c>
      <c r="AT31" s="2">
        <v>146</v>
      </c>
      <c r="AU31">
        <v>362</v>
      </c>
      <c r="AV31">
        <v>183</v>
      </c>
      <c r="AW31">
        <v>637</v>
      </c>
      <c r="AY31">
        <f>LN(B32/B31)</f>
        <v>-8.6484288388894645E-2</v>
      </c>
      <c r="AZ31">
        <f>SQRT($A32-$A31)</f>
        <v>1</v>
      </c>
      <c r="BA31" s="1">
        <f>(AY31/AZ31)</f>
        <v>-8.6484288388894645E-2</v>
      </c>
      <c r="BB31" s="1">
        <f>EXP(BA31)</f>
        <v>0.91714995857497927</v>
      </c>
      <c r="CU31">
        <f>LN(N35/N31)</f>
        <v>0.7471451473546229</v>
      </c>
      <c r="CV31">
        <f>SQRT($A35-$A31)</f>
        <v>2</v>
      </c>
      <c r="CW31" s="1">
        <f>(CU31/CV31)</f>
        <v>0.37357257367731145</v>
      </c>
      <c r="CX31" s="1">
        <f>EXP(CW31)</f>
        <v>1.4529160031745474</v>
      </c>
      <c r="DG31">
        <f>LN(Q32/Q31)</f>
        <v>0.1278298929404813</v>
      </c>
      <c r="DH31">
        <f>SQRT($A32-$A31)</f>
        <v>1</v>
      </c>
      <c r="DI31" s="1">
        <f t="shared" si="124"/>
        <v>0.1278298929404813</v>
      </c>
      <c r="DJ31" s="1">
        <f t="shared" si="125"/>
        <v>1.1363596834507348</v>
      </c>
      <c r="FC31">
        <f t="shared" si="2"/>
        <v>0.14922419079084018</v>
      </c>
      <c r="FD31">
        <f t="shared" si="3"/>
        <v>1</v>
      </c>
      <c r="FE31" s="1">
        <f t="shared" si="17"/>
        <v>0.14922419079084018</v>
      </c>
      <c r="FF31" s="1">
        <f t="shared" si="18"/>
        <v>1.160933230575212</v>
      </c>
      <c r="FK31">
        <f t="shared" si="81"/>
        <v>0.11735060321721236</v>
      </c>
      <c r="FL31">
        <f t="shared" si="82"/>
        <v>1</v>
      </c>
      <c r="FM31" s="1">
        <f t="shared" si="91"/>
        <v>0.11735060321721236</v>
      </c>
      <c r="FN31" s="1">
        <f t="shared" si="92"/>
        <v>1.1245136186770428</v>
      </c>
      <c r="FO31">
        <f t="shared" si="83"/>
        <v>-0.2239662580656733</v>
      </c>
      <c r="FP31">
        <f t="shared" si="84"/>
        <v>1</v>
      </c>
      <c r="FQ31" s="1">
        <f t="shared" si="93"/>
        <v>-0.2239662580656733</v>
      </c>
      <c r="FR31" s="1">
        <f t="shared" si="94"/>
        <v>0.79934210526315785</v>
      </c>
      <c r="FS31">
        <f t="shared" si="108"/>
        <v>-0.96703593087939044</v>
      </c>
      <c r="FT31">
        <f t="shared" si="109"/>
        <v>1</v>
      </c>
      <c r="FU31" s="1">
        <f t="shared" si="110"/>
        <v>-0.96703593087939044</v>
      </c>
      <c r="FV31" s="1">
        <f t="shared" si="111"/>
        <v>0.38020833333333331</v>
      </c>
      <c r="FW31">
        <f t="shared" si="85"/>
        <v>0.22937410106484582</v>
      </c>
      <c r="FX31">
        <f t="shared" si="86"/>
        <v>1</v>
      </c>
      <c r="FY31" s="1">
        <f t="shared" si="95"/>
        <v>0.22937410106484582</v>
      </c>
      <c r="FZ31" s="1">
        <f t="shared" si="96"/>
        <v>1.2578125</v>
      </c>
      <c r="GU31">
        <f>LN(AN32/AN31)</f>
        <v>0.14660347419187544</v>
      </c>
      <c r="GV31">
        <f>SQRT($A32-$A31)</f>
        <v>1</v>
      </c>
      <c r="GW31" s="1">
        <f t="shared" ref="GW31:GW35" si="126">(GU31/GV31)</f>
        <v>0.14660347419187544</v>
      </c>
      <c r="GX31" s="1">
        <f t="shared" ref="GX31:GX35" si="127">EXP(GW31)</f>
        <v>1.1578947368421053</v>
      </c>
      <c r="GY31">
        <f t="shared" si="122"/>
        <v>0.82734324585765884</v>
      </c>
      <c r="GZ31">
        <f>SQRT($A32-$A31)</f>
        <v>1</v>
      </c>
      <c r="HA31" s="1">
        <f t="shared" si="123"/>
        <v>0.82734324585765884</v>
      </c>
      <c r="HB31" s="1">
        <f t="shared" si="59"/>
        <v>2.2872340425531914</v>
      </c>
      <c r="HC31">
        <f t="shared" ref="HC31" si="128">LN(AP32/AP31)</f>
        <v>-2.564243061333767E-2</v>
      </c>
      <c r="HD31">
        <f>SQRT($A32-$A31)</f>
        <v>1</v>
      </c>
      <c r="HE31" s="1">
        <f t="shared" ref="HE31:HE32" si="129">(HC31/HD31)</f>
        <v>-2.564243061333767E-2</v>
      </c>
      <c r="HF31" s="1">
        <f t="shared" ref="HF31:HF32" si="130">EXP(HE31)</f>
        <v>0.97468354430379744</v>
      </c>
      <c r="HO31">
        <f t="shared" si="114"/>
        <v>8.0042707673536356E-2</v>
      </c>
      <c r="HP31">
        <f t="shared" si="115"/>
        <v>1</v>
      </c>
      <c r="HQ31" s="1">
        <f t="shared" si="116"/>
        <v>8.0042707673536356E-2</v>
      </c>
      <c r="HR31" s="1">
        <f t="shared" si="117"/>
        <v>1.0833333333333333</v>
      </c>
      <c r="HS31">
        <f>LN(AT36/AT31)</f>
        <v>0.16388785510511664</v>
      </c>
      <c r="HT31">
        <f>SQRT($A36-$A31)</f>
        <v>2.2360679774997898</v>
      </c>
      <c r="HU31" s="1">
        <f t="shared" ref="HU31" si="131">(HS31/HT31)</f>
        <v>7.3292876940335344E-2</v>
      </c>
      <c r="HV31" s="1">
        <f t="shared" ref="HV31" si="132">EXP(HU31)</f>
        <v>1.0760456397239013</v>
      </c>
      <c r="HW31">
        <f t="shared" ref="HW31:HW32" si="133">LN(AU32/AU31)</f>
        <v>1.3717636228799126E-2</v>
      </c>
      <c r="HX31">
        <f>SQRT($A32-$A31)</f>
        <v>1</v>
      </c>
      <c r="HY31" s="1">
        <f t="shared" ref="HY31:HY33" si="134">(HW31/HX31)</f>
        <v>1.3717636228799126E-2</v>
      </c>
      <c r="HZ31" s="1">
        <f t="shared" ref="HZ31:HZ42" si="135">EXP(HY31)</f>
        <v>1.0138121546961325</v>
      </c>
      <c r="IA31">
        <f t="shared" si="78"/>
        <v>8.3818671883071544E-2</v>
      </c>
      <c r="IB31">
        <f t="shared" si="64"/>
        <v>1</v>
      </c>
      <c r="IC31" s="1">
        <f t="shared" si="79"/>
        <v>8.3818671883071544E-2</v>
      </c>
      <c r="ID31" s="1">
        <f t="shared" si="66"/>
        <v>1.0874316939890711</v>
      </c>
      <c r="IE31">
        <f t="shared" si="67"/>
        <v>0.3588703345021681</v>
      </c>
      <c r="IF31">
        <f t="shared" si="68"/>
        <v>1</v>
      </c>
      <c r="IG31" s="1">
        <f t="shared" si="69"/>
        <v>0.3588703345021681</v>
      </c>
      <c r="IH31" s="1">
        <f t="shared" si="70"/>
        <v>1.4317111459968603</v>
      </c>
    </row>
    <row r="32" spans="1:242" x14ac:dyDescent="0.3">
      <c r="A32">
        <v>2012</v>
      </c>
      <c r="B32">
        <v>2214</v>
      </c>
      <c r="C32">
        <v>2183</v>
      </c>
      <c r="D32" s="2">
        <v>9</v>
      </c>
      <c r="K32">
        <v>2755</v>
      </c>
      <c r="Q32">
        <v>26134</v>
      </c>
      <c r="R32" s="2">
        <v>185</v>
      </c>
      <c r="X32" s="2">
        <v>320</v>
      </c>
      <c r="Z32" s="2">
        <v>127</v>
      </c>
      <c r="AC32" s="3">
        <v>16570</v>
      </c>
      <c r="AD32" s="3"/>
      <c r="AE32">
        <v>867</v>
      </c>
      <c r="AF32">
        <v>243</v>
      </c>
      <c r="AG32">
        <v>73</v>
      </c>
      <c r="AH32">
        <v>483</v>
      </c>
      <c r="AI32" s="3"/>
      <c r="AN32">
        <v>264</v>
      </c>
      <c r="AO32">
        <v>215</v>
      </c>
      <c r="AP32" s="2">
        <v>77</v>
      </c>
      <c r="AS32" s="2">
        <v>650</v>
      </c>
      <c r="AU32">
        <v>367</v>
      </c>
      <c r="AV32">
        <v>199</v>
      </c>
      <c r="AW32">
        <v>912</v>
      </c>
      <c r="AY32">
        <f>LN(B33/B32)</f>
        <v>0.83385129707145944</v>
      </c>
      <c r="AZ32">
        <f>SQRT($A33-$A32)</f>
        <v>1</v>
      </c>
      <c r="BA32" s="1">
        <f>(AY32/AZ32)</f>
        <v>0.83385129707145944</v>
      </c>
      <c r="BB32" s="1">
        <f>EXP(BA32)</f>
        <v>2.3021680216802167</v>
      </c>
      <c r="BC32">
        <f>LN(C33/C32)</f>
        <v>1.0381880590485009</v>
      </c>
      <c r="BD32">
        <f>SQRT($A33-$A32)</f>
        <v>1</v>
      </c>
      <c r="BE32" s="1">
        <f>(BC32/BD32)</f>
        <v>1.0381880590485009</v>
      </c>
      <c r="BF32" s="1">
        <f>EXP(BE32)</f>
        <v>2.8240952817224008</v>
      </c>
      <c r="BG32">
        <f>LN(D34/D32)</f>
        <v>1.791759469228055</v>
      </c>
      <c r="BH32">
        <f>SQRT($A34-$A32)</f>
        <v>1.4142135623730951</v>
      </c>
      <c r="BI32" s="1">
        <f>(BG32/BH32)</f>
        <v>1.2669652709463668</v>
      </c>
      <c r="BJ32" s="1">
        <f>EXP(BI32)</f>
        <v>3.5500627200336505</v>
      </c>
      <c r="CI32">
        <f>LN(K33/K32)</f>
        <v>0.11442997133156689</v>
      </c>
      <c r="CJ32">
        <f>SQRT($A33-$A32)</f>
        <v>1</v>
      </c>
      <c r="CK32" s="1">
        <f>(CI32/CJ32)</f>
        <v>0.11442997133156689</v>
      </c>
      <c r="CL32" s="1">
        <f>EXP(CK32)</f>
        <v>1.1212341197822142</v>
      </c>
      <c r="DG32">
        <f>LN(Q34/Q32)</f>
        <v>-0.41763033359060114</v>
      </c>
      <c r="DH32">
        <f>SQRT($A34-$A32)</f>
        <v>1.4142135623730951</v>
      </c>
      <c r="DI32" s="1">
        <f t="shared" si="124"/>
        <v>-0.29530924091111405</v>
      </c>
      <c r="DJ32" s="1">
        <f t="shared" si="125"/>
        <v>0.74430138343553476</v>
      </c>
      <c r="DK32">
        <f>LN(R34/R32)</f>
        <v>1.5719886023924845</v>
      </c>
      <c r="DL32">
        <f>SQRT($A34-$A32)</f>
        <v>1.4142135623730951</v>
      </c>
      <c r="DM32" s="1">
        <f>(DK32/DL32)</f>
        <v>1.1115638006996891</v>
      </c>
      <c r="DN32" s="1">
        <f>EXP(DM32)</f>
        <v>3.0391072383709719</v>
      </c>
      <c r="EI32">
        <f>LN(X34/X32)</f>
        <v>0.19268434382950114</v>
      </c>
      <c r="EJ32">
        <f>SQRT($A34-$A32)</f>
        <v>1.4142135623730951</v>
      </c>
      <c r="EK32" s="1">
        <f>(EI32/EJ32)</f>
        <v>0.13624840615032055</v>
      </c>
      <c r="EL32" s="1">
        <f>EXP(EK32)</f>
        <v>1.145966523373972</v>
      </c>
      <c r="EQ32">
        <f>LN(Z34/Z32)</f>
        <v>0.99645457091480716</v>
      </c>
      <c r="ER32">
        <f>SQRT($A34-$A32)</f>
        <v>1.4142135623730951</v>
      </c>
      <c r="ES32" s="1">
        <f>(EQ32/ER32)</f>
        <v>0.70459978423819158</v>
      </c>
      <c r="ET32" s="1">
        <f>EXP(ES32)</f>
        <v>2.0230368716403868</v>
      </c>
      <c r="FC32">
        <f>LN(AC35/AC32)</f>
        <v>3.066558329095536E-2</v>
      </c>
      <c r="FD32">
        <f>SQRT($A35-$A32)</f>
        <v>1.7320508075688772</v>
      </c>
      <c r="FE32" s="1">
        <f t="shared" si="17"/>
        <v>1.7704782767889969E-2</v>
      </c>
      <c r="FF32" s="1">
        <f t="shared" si="18"/>
        <v>1.0178624414977893</v>
      </c>
      <c r="FK32">
        <f t="shared" si="81"/>
        <v>-0.44607086303410726</v>
      </c>
      <c r="FL32">
        <f t="shared" si="82"/>
        <v>1</v>
      </c>
      <c r="FM32" s="1">
        <f t="shared" si="91"/>
        <v>-0.44607086303410726</v>
      </c>
      <c r="FN32" s="1">
        <f t="shared" si="92"/>
        <v>0.64013840830449831</v>
      </c>
      <c r="FO32">
        <f t="shared" si="83"/>
        <v>0.80588780351539413</v>
      </c>
      <c r="FP32">
        <f t="shared" si="84"/>
        <v>1</v>
      </c>
      <c r="FQ32" s="1">
        <f t="shared" si="93"/>
        <v>0.80588780351539413</v>
      </c>
      <c r="FR32" s="1">
        <f t="shared" si="94"/>
        <v>2.2386831275720165</v>
      </c>
      <c r="FS32">
        <f t="shared" si="108"/>
        <v>-0.88926205948623582</v>
      </c>
      <c r="FT32">
        <f t="shared" si="109"/>
        <v>1</v>
      </c>
      <c r="FU32" s="1">
        <f t="shared" si="110"/>
        <v>-0.88926205948623582</v>
      </c>
      <c r="FV32" s="1">
        <f t="shared" si="111"/>
        <v>0.41095890410958902</v>
      </c>
      <c r="FW32">
        <f t="shared" si="85"/>
        <v>-4.0132101426317422E-2</v>
      </c>
      <c r="FX32">
        <f t="shared" si="86"/>
        <v>1</v>
      </c>
      <c r="FY32" s="1">
        <f t="shared" si="95"/>
        <v>-4.0132101426317422E-2</v>
      </c>
      <c r="FZ32" s="1">
        <f t="shared" si="96"/>
        <v>0.96066252587991718</v>
      </c>
      <c r="GU32">
        <f>LN(AN33/AN32)</f>
        <v>8.7011376989629699E-2</v>
      </c>
      <c r="GV32">
        <f>SQRT($A33-$A32)</f>
        <v>1</v>
      </c>
      <c r="GW32" s="1">
        <f t="shared" si="126"/>
        <v>8.7011376989629699E-2</v>
      </c>
      <c r="GX32" s="1">
        <f t="shared" si="127"/>
        <v>1.0909090909090908</v>
      </c>
      <c r="GY32">
        <f t="shared" si="122"/>
        <v>2.2989518224698781E-2</v>
      </c>
      <c r="GZ32">
        <f>SQRT($A33-$A32)</f>
        <v>1</v>
      </c>
      <c r="HA32" s="1">
        <f t="shared" si="123"/>
        <v>2.2989518224698781E-2</v>
      </c>
      <c r="HB32" s="1">
        <f t="shared" si="59"/>
        <v>1.0232558139534884</v>
      </c>
      <c r="HC32">
        <f>LN(AP35/AP32)</f>
        <v>7.5035185942914098E-2</v>
      </c>
      <c r="HD32">
        <f>SQRT($A35-$A32)</f>
        <v>1.7320508075688772</v>
      </c>
      <c r="HE32" s="1">
        <f t="shared" si="129"/>
        <v>4.3321584802835079E-2</v>
      </c>
      <c r="HF32" s="1">
        <f t="shared" si="130"/>
        <v>1.0442736633988376</v>
      </c>
      <c r="HW32">
        <f t="shared" si="133"/>
        <v>7.8574432632620234E-2</v>
      </c>
      <c r="HX32">
        <f>SQRT($A33-$A32)</f>
        <v>1</v>
      </c>
      <c r="HY32" s="1">
        <f t="shared" si="134"/>
        <v>7.8574432632620234E-2</v>
      </c>
      <c r="HZ32" s="1">
        <f t="shared" si="135"/>
        <v>1.0817438692098094</v>
      </c>
      <c r="IA32">
        <f t="shared" si="78"/>
        <v>-0.12282082968634055</v>
      </c>
      <c r="IB32">
        <f t="shared" si="64"/>
        <v>1</v>
      </c>
      <c r="IC32" s="1">
        <f t="shared" si="79"/>
        <v>-0.12282082968634055</v>
      </c>
      <c r="ID32" s="1">
        <f t="shared" si="66"/>
        <v>0.88442211055276387</v>
      </c>
      <c r="IE32">
        <f t="shared" si="67"/>
        <v>-4.1416103716717008E-2</v>
      </c>
      <c r="IF32">
        <f t="shared" si="68"/>
        <v>1</v>
      </c>
      <c r="IG32" s="1">
        <f t="shared" si="69"/>
        <v>-4.1416103716717008E-2</v>
      </c>
      <c r="IH32" s="1">
        <f t="shared" si="70"/>
        <v>0.95942982456140347</v>
      </c>
    </row>
    <row r="33" spans="1:242" x14ac:dyDescent="0.3">
      <c r="A33">
        <v>2013</v>
      </c>
      <c r="B33">
        <v>5097</v>
      </c>
      <c r="C33">
        <v>6165</v>
      </c>
      <c r="K33">
        <v>3089</v>
      </c>
      <c r="L33" s="2">
        <v>318</v>
      </c>
      <c r="O33" s="2">
        <v>133</v>
      </c>
      <c r="AA33">
        <v>10151</v>
      </c>
      <c r="AC33" s="3"/>
      <c r="AD33" s="3"/>
      <c r="AE33">
        <v>555</v>
      </c>
      <c r="AF33">
        <v>544</v>
      </c>
      <c r="AG33">
        <v>30</v>
      </c>
      <c r="AH33">
        <v>464</v>
      </c>
      <c r="AI33" s="3"/>
      <c r="AN33">
        <v>288</v>
      </c>
      <c r="AO33">
        <v>220</v>
      </c>
      <c r="AU33">
        <v>397</v>
      </c>
      <c r="AV33">
        <v>176</v>
      </c>
      <c r="AW33">
        <v>875</v>
      </c>
      <c r="AY33">
        <f>LN(B35/B33)</f>
        <v>-8.6850867639615539E-2</v>
      </c>
      <c r="AZ33">
        <f>SQRT($A35-$A33)</f>
        <v>1.4142135623730951</v>
      </c>
      <c r="BA33" s="1">
        <f>(AY33/AZ33)</f>
        <v>-6.1412837459907423E-2</v>
      </c>
      <c r="BB33" s="1">
        <f>EXP(BA33)</f>
        <v>0.94043491286294234</v>
      </c>
      <c r="BC33">
        <f>LN(C35/C33)</f>
        <v>-0.62435979111837148</v>
      </c>
      <c r="BD33">
        <f>SQRT($A35-$A33)</f>
        <v>1.4142135623730951</v>
      </c>
      <c r="BE33" s="1">
        <f>(BC33/BD33)</f>
        <v>-0.44148904220001678</v>
      </c>
      <c r="BF33" s="1">
        <f>EXP(BE33)</f>
        <v>0.64307813731334984</v>
      </c>
      <c r="CI33">
        <f>LN(K35/K33)</f>
        <v>0.1960394870548289</v>
      </c>
      <c r="CJ33">
        <f>SQRT($A35-$A33)</f>
        <v>1.4142135623730951</v>
      </c>
      <c r="CK33" s="1">
        <f>(CI33/CJ33)</f>
        <v>0.13862085067680191</v>
      </c>
      <c r="CL33" s="1">
        <f>EXP(CK33)</f>
        <v>1.1486884929640935</v>
      </c>
      <c r="CM33">
        <f>LN(L35/L33)</f>
        <v>-3.8466280827796052E-2</v>
      </c>
      <c r="CN33">
        <f>SQRT($A35-$A33)</f>
        <v>1.4142135623730951</v>
      </c>
      <c r="CO33" s="1">
        <f>(CM33/CN33)</f>
        <v>-2.7199768020360671E-2</v>
      </c>
      <c r="CP33" s="1">
        <f>EXP(CO33)</f>
        <v>0.97316681449681941</v>
      </c>
      <c r="CY33">
        <f>LN(O35/O33)</f>
        <v>-1.0191481173138628</v>
      </c>
      <c r="CZ33">
        <f>SQRT($A35-$A33)</f>
        <v>1.4142135623730951</v>
      </c>
      <c r="DA33" s="1">
        <f>(CY33/CZ33)</f>
        <v>-0.72064654478613543</v>
      </c>
      <c r="DB33" s="1">
        <f>EXP(DA33)</f>
        <v>0.48643765054094701</v>
      </c>
      <c r="EU33">
        <f>LN(AA34/AA33)</f>
        <v>9.1173066020142371E-2</v>
      </c>
      <c r="EV33">
        <f>SQRT($A34-$A33)</f>
        <v>1</v>
      </c>
      <c r="EW33" s="1">
        <f>(EU33/EV33)</f>
        <v>9.1173066020142371E-2</v>
      </c>
      <c r="EX33" s="1">
        <f>EXP(EW33)</f>
        <v>1.0954585755098021</v>
      </c>
      <c r="FK33">
        <f t="shared" si="81"/>
        <v>0.16871590473817591</v>
      </c>
      <c r="FL33">
        <f t="shared" si="82"/>
        <v>1</v>
      </c>
      <c r="FM33" s="1">
        <f t="shared" si="91"/>
        <v>0.16871590473817591</v>
      </c>
      <c r="FN33" s="1">
        <f t="shared" si="92"/>
        <v>1.1837837837837837</v>
      </c>
      <c r="FO33">
        <f t="shared" si="83"/>
        <v>0.20683481327228578</v>
      </c>
      <c r="FP33">
        <f t="shared" si="84"/>
        <v>1</v>
      </c>
      <c r="FQ33" s="1">
        <f t="shared" si="93"/>
        <v>0.20683481327228578</v>
      </c>
      <c r="FR33" s="1">
        <f t="shared" si="94"/>
        <v>1.2297794117647058</v>
      </c>
      <c r="FS33">
        <f t="shared" si="108"/>
        <v>2.0412203288596382</v>
      </c>
      <c r="FT33">
        <f t="shared" si="109"/>
        <v>1</v>
      </c>
      <c r="FU33" s="1">
        <f t="shared" si="110"/>
        <v>2.0412203288596382</v>
      </c>
      <c r="FV33" s="1">
        <f t="shared" si="111"/>
        <v>7.7</v>
      </c>
      <c r="FW33">
        <f t="shared" si="85"/>
        <v>0.14611354228260945</v>
      </c>
      <c r="FX33">
        <f t="shared" si="86"/>
        <v>1</v>
      </c>
      <c r="FY33" s="1">
        <f t="shared" si="95"/>
        <v>0.14611354228260945</v>
      </c>
      <c r="FZ33" s="1">
        <f t="shared" si="96"/>
        <v>1.1573275862068966</v>
      </c>
      <c r="GU33">
        <f>LN(AN34/AN33)</f>
        <v>-0.67252789335720975</v>
      </c>
      <c r="GV33">
        <f>SQRT($A34-$A33)</f>
        <v>1</v>
      </c>
      <c r="GW33" s="1">
        <f t="shared" si="126"/>
        <v>-0.67252789335720975</v>
      </c>
      <c r="GX33" s="1">
        <f t="shared" si="127"/>
        <v>0.51041666666666663</v>
      </c>
      <c r="GY33">
        <f>LN(AO35/AO33)</f>
        <v>0</v>
      </c>
      <c r="GZ33">
        <f>SQRT($A35-$A33)</f>
        <v>1.4142135623730951</v>
      </c>
      <c r="HA33" s="1">
        <f t="shared" si="123"/>
        <v>0</v>
      </c>
      <c r="HB33" s="1">
        <f t="shared" si="59"/>
        <v>1</v>
      </c>
      <c r="HW33">
        <f>LN(AU35/AU33)</f>
        <v>0.19608037296538219</v>
      </c>
      <c r="HX33">
        <f>SQRT($A35-$A33)</f>
        <v>1.4142135623730951</v>
      </c>
      <c r="HY33" s="1">
        <f t="shared" si="134"/>
        <v>0.13864976138140914</v>
      </c>
      <c r="HZ33" s="1">
        <f t="shared" si="135"/>
        <v>1.1487217028378576</v>
      </c>
      <c r="IA33">
        <f t="shared" si="78"/>
        <v>0.16705408466316624</v>
      </c>
      <c r="IB33">
        <f t="shared" si="64"/>
        <v>1</v>
      </c>
      <c r="IC33" s="1">
        <f t="shared" si="79"/>
        <v>0.16705408466316624</v>
      </c>
      <c r="ID33" s="1">
        <f t="shared" si="66"/>
        <v>1.1818181818181819</v>
      </c>
      <c r="IE33">
        <f t="shared" si="67"/>
        <v>0.15431393180705108</v>
      </c>
      <c r="IF33">
        <f t="shared" si="68"/>
        <v>1</v>
      </c>
      <c r="IG33" s="1">
        <f t="shared" si="69"/>
        <v>0.15431393180705108</v>
      </c>
      <c r="IH33" s="1">
        <f t="shared" si="70"/>
        <v>1.1668571428571428</v>
      </c>
    </row>
    <row r="34" spans="1:242" x14ac:dyDescent="0.3">
      <c r="A34">
        <v>2014</v>
      </c>
      <c r="D34" s="2">
        <v>54</v>
      </c>
      <c r="F34">
        <v>40</v>
      </c>
      <c r="H34">
        <v>2984</v>
      </c>
      <c r="P34">
        <v>10027</v>
      </c>
      <c r="Q34">
        <v>17212</v>
      </c>
      <c r="R34" s="2">
        <v>891</v>
      </c>
      <c r="S34" s="2">
        <v>1351</v>
      </c>
      <c r="T34" s="2">
        <v>4843</v>
      </c>
      <c r="U34">
        <v>45846</v>
      </c>
      <c r="V34">
        <v>747</v>
      </c>
      <c r="W34" s="2">
        <v>669</v>
      </c>
      <c r="X34" s="2">
        <v>388</v>
      </c>
      <c r="Z34" s="2">
        <v>344</v>
      </c>
      <c r="AA34">
        <v>11120</v>
      </c>
      <c r="AC34" s="3"/>
      <c r="AD34" s="3"/>
      <c r="AE34">
        <v>657</v>
      </c>
      <c r="AF34">
        <v>669</v>
      </c>
      <c r="AG34">
        <v>231</v>
      </c>
      <c r="AH34">
        <v>537</v>
      </c>
      <c r="AI34" s="3"/>
      <c r="AK34">
        <v>1081</v>
      </c>
      <c r="AN34">
        <v>147</v>
      </c>
      <c r="AS34" s="2">
        <v>698</v>
      </c>
      <c r="AV34">
        <v>208</v>
      </c>
      <c r="AW34">
        <v>1021</v>
      </c>
      <c r="BO34">
        <f>LN(F38/F34)</f>
        <v>1.1939224684724346</v>
      </c>
      <c r="BP34">
        <f>SQRT($A38-$A34)</f>
        <v>2</v>
      </c>
      <c r="BQ34" s="1">
        <f>(BO34/BP34)</f>
        <v>0.59696123423621728</v>
      </c>
      <c r="BR34" s="1">
        <f>EXP(BQ34)</f>
        <v>1.8165902124584949</v>
      </c>
      <c r="DC34">
        <f>LN(P38/P34)</f>
        <v>-0.17681168179459791</v>
      </c>
      <c r="DD34">
        <f>SQRT($A38-$A34)</f>
        <v>2</v>
      </c>
      <c r="DE34" s="1">
        <f>(DC34/DD34)</f>
        <v>-8.8405840897298957E-2</v>
      </c>
      <c r="DF34" s="1">
        <f>EXP(DE34)</f>
        <v>0.91538929891324106</v>
      </c>
      <c r="DG34">
        <f>LN(Q38/Q34)</f>
        <v>-0.11097959902369074</v>
      </c>
      <c r="DH34">
        <f>SQRT($A38-$A34)</f>
        <v>2</v>
      </c>
      <c r="DI34" s="1">
        <f t="shared" ref="DI34" si="136">(DG34/DH34)</f>
        <v>-5.5489799511845371E-2</v>
      </c>
      <c r="DJ34" s="1">
        <f t="shared" si="125"/>
        <v>0.94602167350409261</v>
      </c>
      <c r="DK34">
        <f>LN(R38/R34)</f>
        <v>-0.55793370175243795</v>
      </c>
      <c r="DL34">
        <f>SQRT($A38-$A34)</f>
        <v>2</v>
      </c>
      <c r="DM34" s="1">
        <f>(DK34/DL34)</f>
        <v>-0.27896685087621897</v>
      </c>
      <c r="DN34" s="1">
        <f>EXP(DM34)</f>
        <v>0.7565649822656163</v>
      </c>
      <c r="DO34">
        <f>LN(S38/S34)</f>
        <v>7.9644063059925524E-2</v>
      </c>
      <c r="DP34">
        <f>SQRT($A38-$A34)</f>
        <v>2</v>
      </c>
      <c r="DQ34" s="1">
        <f>(DO34/DP34)</f>
        <v>3.9822031529962762E-2</v>
      </c>
      <c r="DR34" s="1">
        <f>EXP(DQ34)</f>
        <v>1.0406255591730127</v>
      </c>
      <c r="EA34">
        <f>LN(V40/V34)</f>
        <v>-0.34696890142655579</v>
      </c>
      <c r="EB34">
        <f>SQRT($A40-$A34)</f>
        <v>2.4494897427831779</v>
      </c>
      <c r="EC34" s="1">
        <f>(EA34/EB34)</f>
        <v>-0.141649460851516</v>
      </c>
      <c r="ED34" s="1">
        <f>EXP(EC34)</f>
        <v>0.86792544501424829</v>
      </c>
      <c r="EU34">
        <f>LN(AA36/AA34)</f>
        <v>-3.7100659896896031E-2</v>
      </c>
      <c r="EV34">
        <f>SQRT($A36-$A34)</f>
        <v>1.4142135623730951</v>
      </c>
      <c r="EW34" s="1">
        <f>(EU34/EV34)</f>
        <v>-2.6234128199590978E-2</v>
      </c>
      <c r="EX34" s="1">
        <f>EXP(EW34)</f>
        <v>0.97410699699091985</v>
      </c>
      <c r="FK34">
        <f t="shared" si="81"/>
        <v>0.6472068330812738</v>
      </c>
      <c r="FL34">
        <f t="shared" si="82"/>
        <v>1</v>
      </c>
      <c r="FM34" s="1">
        <f t="shared" si="91"/>
        <v>0.6472068330812738</v>
      </c>
      <c r="FN34" s="1">
        <f t="shared" si="92"/>
        <v>1.9101978691019788</v>
      </c>
      <c r="FO34">
        <f t="shared" si="83"/>
        <v>-4.7445776783438552E-2</v>
      </c>
      <c r="FP34">
        <f t="shared" si="84"/>
        <v>1</v>
      </c>
      <c r="FQ34" s="1">
        <f t="shared" si="93"/>
        <v>-4.7445776783438552E-2</v>
      </c>
      <c r="FR34" s="1">
        <f t="shared" si="94"/>
        <v>0.95366218236173395</v>
      </c>
      <c r="FS34">
        <f t="shared" si="108"/>
        <v>-5.3345980705292735E-2</v>
      </c>
      <c r="FT34">
        <f t="shared" si="109"/>
        <v>1</v>
      </c>
      <c r="FU34" s="1">
        <f t="shared" si="110"/>
        <v>-5.3345980705292735E-2</v>
      </c>
      <c r="FV34" s="1">
        <f t="shared" si="111"/>
        <v>0.94805194805194803</v>
      </c>
      <c r="FW34">
        <f t="shared" si="85"/>
        <v>0.20624174051160657</v>
      </c>
      <c r="FX34">
        <f t="shared" si="86"/>
        <v>1</v>
      </c>
      <c r="FY34" s="1">
        <f t="shared" si="95"/>
        <v>0.20624174051160657</v>
      </c>
      <c r="FZ34" s="1">
        <f t="shared" si="96"/>
        <v>1.229050279329609</v>
      </c>
      <c r="GU34">
        <f>LN(AN35/AN34)</f>
        <v>0.15706189003471671</v>
      </c>
      <c r="GV34">
        <f>SQRT($A35-$A34)</f>
        <v>1</v>
      </c>
      <c r="GW34" s="1">
        <f t="shared" si="126"/>
        <v>0.15706189003471671</v>
      </c>
      <c r="GX34" s="1">
        <f t="shared" si="127"/>
        <v>1.1700680272108843</v>
      </c>
      <c r="HO34">
        <f>LN(AS36/AS34)</f>
        <v>0.13138008308201049</v>
      </c>
      <c r="HP34">
        <f>SQRT($A36-$A34)</f>
        <v>1.4142135623730951</v>
      </c>
      <c r="HQ34" s="1">
        <f t="shared" ref="HQ34" si="137">(HO34/HP34)</f>
        <v>9.2899747660141627E-2</v>
      </c>
      <c r="HR34" s="1">
        <f t="shared" ref="HR34" si="138">EXP(HQ34)</f>
        <v>1.097351717676069</v>
      </c>
      <c r="IA34">
        <f t="shared" si="78"/>
        <v>0.38604702225106285</v>
      </c>
      <c r="IB34">
        <f t="shared" si="64"/>
        <v>1</v>
      </c>
      <c r="IC34" s="1">
        <f t="shared" si="79"/>
        <v>0.38604702225106285</v>
      </c>
      <c r="ID34" s="1">
        <f t="shared" si="66"/>
        <v>1.4711538461538463</v>
      </c>
      <c r="IE34">
        <f t="shared" si="67"/>
        <v>-1.4800467504981089E-2</v>
      </c>
      <c r="IF34">
        <f t="shared" si="68"/>
        <v>1</v>
      </c>
      <c r="IG34" s="1">
        <f t="shared" si="69"/>
        <v>-1.4800467504981089E-2</v>
      </c>
      <c r="IH34" s="1">
        <f t="shared" si="70"/>
        <v>0.98530852105778644</v>
      </c>
    </row>
    <row r="35" spans="1:242" x14ac:dyDescent="0.3">
      <c r="A35">
        <v>2015</v>
      </c>
      <c r="B35">
        <v>4673</v>
      </c>
      <c r="C35">
        <v>3302</v>
      </c>
      <c r="E35" s="2">
        <v>0.1</v>
      </c>
      <c r="G35">
        <v>973</v>
      </c>
      <c r="I35">
        <v>2666</v>
      </c>
      <c r="J35" s="2">
        <v>0.1</v>
      </c>
      <c r="K35">
        <v>3758</v>
      </c>
      <c r="L35" s="2">
        <v>306</v>
      </c>
      <c r="N35">
        <v>4813</v>
      </c>
      <c r="O35" s="2">
        <v>48</v>
      </c>
      <c r="AC35" s="3">
        <v>17086</v>
      </c>
      <c r="AD35" s="3"/>
      <c r="AE35">
        <v>1255</v>
      </c>
      <c r="AF35">
        <v>638</v>
      </c>
      <c r="AG35">
        <v>219</v>
      </c>
      <c r="AH35">
        <v>660</v>
      </c>
      <c r="AI35" s="3"/>
      <c r="AN35">
        <v>172</v>
      </c>
      <c r="AO35">
        <v>220</v>
      </c>
      <c r="AP35" s="2">
        <v>83</v>
      </c>
      <c r="AU35">
        <v>483</v>
      </c>
      <c r="AV35">
        <v>306</v>
      </c>
      <c r="AW35">
        <v>1006</v>
      </c>
      <c r="CA35">
        <f>LN(I42/I35)</f>
        <v>0.80817573845123936</v>
      </c>
      <c r="CB35">
        <f>SQRT($A42-$A35)</f>
        <v>2.6457513110645907</v>
      </c>
      <c r="CC35" s="1">
        <f>(CA35/CB35)</f>
        <v>0.30546171708256575</v>
      </c>
      <c r="CD35" s="1">
        <f>EXP(CC35)</f>
        <v>1.3572515245714722</v>
      </c>
      <c r="CE35">
        <f>LN(J42/J35)</f>
        <v>0</v>
      </c>
      <c r="CF35">
        <f>SQRT($A42-$A35)</f>
        <v>2.6457513110645907</v>
      </c>
      <c r="CG35" s="1">
        <f>(CE35/CF35)</f>
        <v>0</v>
      </c>
      <c r="CH35" s="1">
        <f>EXP(CG35)</f>
        <v>1</v>
      </c>
      <c r="CI35">
        <f>LN(K42/K35)</f>
        <v>0.84459520747929184</v>
      </c>
      <c r="CJ35">
        <f>SQRT($A42-$A35)</f>
        <v>2.6457513110645907</v>
      </c>
      <c r="CK35" s="1">
        <f>(CI35/CJ35)</f>
        <v>0.31922698250102943</v>
      </c>
      <c r="CL35" s="1">
        <f>EXP(CK35)</f>
        <v>1.376063631825323</v>
      </c>
      <c r="CU35">
        <f>LN(N42/N35)</f>
        <v>-0.22584822372133681</v>
      </c>
      <c r="CV35">
        <f>SQRT($A42-$A35)</f>
        <v>2.6457513110645907</v>
      </c>
      <c r="CW35" s="1">
        <f>(CU35/CV35)</f>
        <v>-8.5362604858905108E-2</v>
      </c>
      <c r="CX35" s="1">
        <f>EXP(CW35)</f>
        <v>0.91817928776091784</v>
      </c>
      <c r="CY35">
        <f>LN(O42/O35)</f>
        <v>2.4423470353692043</v>
      </c>
      <c r="CZ35">
        <f>SQRT($A42-$A35)</f>
        <v>2.6457513110645907</v>
      </c>
      <c r="DA35" s="1">
        <f>(CY35/CZ35)</f>
        <v>0.92312041012896973</v>
      </c>
      <c r="DB35" s="1">
        <f>EXP(DA35)</f>
        <v>2.5171326342315474</v>
      </c>
      <c r="FC35">
        <f>LN(AC37/AC35)</f>
        <v>0.15381618132102026</v>
      </c>
      <c r="FD35">
        <f>SQRT($A37-$A35)</f>
        <v>1.4142135623730951</v>
      </c>
      <c r="FE35" s="1">
        <f t="shared" ref="FE35" si="139">(FC35/FD35)</f>
        <v>0.10876446486831298</v>
      </c>
      <c r="FF35" s="1">
        <f t="shared" ref="FF35" si="140">EXP(FE35)</f>
        <v>1.1148997213607976</v>
      </c>
      <c r="FK35">
        <f>LN(AE37/AE35)</f>
        <v>-0.82861556461786867</v>
      </c>
      <c r="FL35">
        <f>SQRT($A37-$A35)</f>
        <v>1.4142135623730951</v>
      </c>
      <c r="FM35" s="1">
        <f>(FK35/FL35)</f>
        <v>-0.5859196847380147</v>
      </c>
      <c r="FN35" s="1">
        <f>EXP(FM35)</f>
        <v>0.55659373558704051</v>
      </c>
      <c r="FO35">
        <f>LN(AF37/AF35)</f>
        <v>0.12230085394015926</v>
      </c>
      <c r="FP35">
        <f>SQRT($A37-$A35)</f>
        <v>1.4142135623730951</v>
      </c>
      <c r="FQ35" s="1">
        <f>(FO35/FP35)</f>
        <v>8.6479763165992096E-2</v>
      </c>
      <c r="FR35" s="1">
        <f>EXP(FQ35)</f>
        <v>1.0903293026814045</v>
      </c>
      <c r="FS35">
        <f>LN(AG37/AG35)</f>
        <v>-0.44031183943833252</v>
      </c>
      <c r="FT35">
        <f>SQRT($A37-$A35)</f>
        <v>1.4142135623730951</v>
      </c>
      <c r="FU35" s="1">
        <f>(FS35/FT35)</f>
        <v>-0.31134748750356722</v>
      </c>
      <c r="FV35" s="1">
        <f>EXP(FU35)</f>
        <v>0.73245931118536234</v>
      </c>
      <c r="FW35">
        <f>LN(AH37/AH35)</f>
        <v>-0.35020242943311486</v>
      </c>
      <c r="FX35">
        <f>SQRT($A37-$A35)</f>
        <v>1.4142135623730951</v>
      </c>
      <c r="FY35" s="1">
        <f>(FW35/FX35)</f>
        <v>-0.2476305126401589</v>
      </c>
      <c r="FZ35" s="1">
        <f>EXP(FY35)</f>
        <v>0.78064832968748743</v>
      </c>
      <c r="GU35">
        <f>LN(AN36/AN35)</f>
        <v>0.50849733400639963</v>
      </c>
      <c r="GV35">
        <f>SQRT($A36-$A35)</f>
        <v>1</v>
      </c>
      <c r="GW35" s="1">
        <f t="shared" si="126"/>
        <v>0.50849733400639963</v>
      </c>
      <c r="GX35" s="1">
        <f t="shared" si="127"/>
        <v>1.6627906976744187</v>
      </c>
      <c r="GY35">
        <f t="shared" ref="GY35" si="141">LN(AO36/AO35)</f>
        <v>0</v>
      </c>
      <c r="GZ35">
        <f>SQRT($A36-$A35)</f>
        <v>1</v>
      </c>
      <c r="HA35" s="1">
        <f t="shared" ref="HA35" si="142">(GY35/GZ35)</f>
        <v>0</v>
      </c>
      <c r="HB35" s="1">
        <f t="shared" si="59"/>
        <v>1</v>
      </c>
      <c r="HC35">
        <f t="shared" ref="HC35" si="143">LN(AP36/AP35)</f>
        <v>2.3810648693718607E-2</v>
      </c>
      <c r="HD35">
        <f>SQRT($A36-$A35)</f>
        <v>1</v>
      </c>
      <c r="HE35" s="1">
        <f t="shared" ref="HE35" si="144">(HC35/HD35)</f>
        <v>2.3810648693718607E-2</v>
      </c>
      <c r="HF35" s="1">
        <f t="shared" ref="HF35" si="145">EXP(HE35)</f>
        <v>1.0240963855421688</v>
      </c>
      <c r="HW35">
        <f t="shared" ref="HW35:HW39" si="146">LN(AU36/AU35)</f>
        <v>-0.2638145910451376</v>
      </c>
      <c r="HX35">
        <f>SQRT($A36-$A35)</f>
        <v>1</v>
      </c>
      <c r="HY35" s="1">
        <f t="shared" ref="HY35:HY40" si="147">(HW35/HX35)</f>
        <v>-0.2638145910451376</v>
      </c>
      <c r="HZ35" s="1">
        <f t="shared" si="135"/>
        <v>0.76811594202898548</v>
      </c>
      <c r="IA35">
        <f>LN(AV38/AV35)</f>
        <v>0.21395110313004562</v>
      </c>
      <c r="IB35">
        <f>SQRT($A38-$A35)</f>
        <v>1.7320508075688772</v>
      </c>
      <c r="IC35" s="1">
        <f t="shared" si="79"/>
        <v>0.12352472698554923</v>
      </c>
      <c r="ID35" s="1">
        <f t="shared" si="66"/>
        <v>1.1314779822358914</v>
      </c>
      <c r="IE35">
        <f>LN(AW38/AW35)</f>
        <v>0.19777476583647211</v>
      </c>
      <c r="IF35">
        <f>SQRT($A38-$A35)</f>
        <v>1.7320508075688772</v>
      </c>
      <c r="IG35" s="1">
        <f t="shared" si="69"/>
        <v>0.11418531429460238</v>
      </c>
      <c r="IH35" s="1">
        <f t="shared" si="70"/>
        <v>1.1209598355188806</v>
      </c>
    </row>
    <row r="36" spans="1:242" x14ac:dyDescent="0.3">
      <c r="A36">
        <v>2016</v>
      </c>
      <c r="AA36">
        <v>10715</v>
      </c>
      <c r="AC36" s="3"/>
      <c r="AD36" s="3"/>
      <c r="AE36" s="3"/>
      <c r="AF36" s="3"/>
      <c r="AG36" s="3"/>
      <c r="AH36" s="3"/>
      <c r="AI36" s="3"/>
      <c r="AN36">
        <v>286</v>
      </c>
      <c r="AO36">
        <v>220</v>
      </c>
      <c r="AP36" s="2">
        <v>85</v>
      </c>
      <c r="AQ36" s="2">
        <v>120</v>
      </c>
      <c r="AR36" s="2">
        <v>102</v>
      </c>
      <c r="AS36" s="2">
        <v>796</v>
      </c>
      <c r="AT36" s="2">
        <v>172</v>
      </c>
      <c r="AU36">
        <v>371</v>
      </c>
      <c r="EU36">
        <f>LN(AA38/AA36)</f>
        <v>4.5626039391189459E-3</v>
      </c>
      <c r="EV36">
        <f>SQRT($A38-$A36)</f>
        <v>1.4142135623730951</v>
      </c>
      <c r="EW36" s="1">
        <f>(EU36/EV36)</f>
        <v>3.2262481852194601E-3</v>
      </c>
      <c r="EX36" s="1">
        <f>EXP(EW36)</f>
        <v>1.0032314581252424</v>
      </c>
      <c r="HW36">
        <f t="shared" si="146"/>
        <v>0.42591935611371623</v>
      </c>
      <c r="HX36">
        <f>SQRT($A37-$A36)</f>
        <v>1</v>
      </c>
      <c r="HY36" s="1">
        <f t="shared" si="147"/>
        <v>0.42591935611371623</v>
      </c>
      <c r="HZ36" s="1">
        <f t="shared" si="135"/>
        <v>1.5309973045822103</v>
      </c>
    </row>
    <row r="37" spans="1:242" x14ac:dyDescent="0.3">
      <c r="A37">
        <v>2017</v>
      </c>
      <c r="AC37" s="3">
        <v>19927</v>
      </c>
      <c r="AD37" s="3"/>
      <c r="AE37">
        <v>548</v>
      </c>
      <c r="AF37">
        <v>721</v>
      </c>
      <c r="AG37">
        <v>141</v>
      </c>
      <c r="AH37">
        <v>465</v>
      </c>
      <c r="AI37" s="3"/>
      <c r="AU37">
        <v>568</v>
      </c>
      <c r="FK37">
        <f>LN(AE39/AE37)</f>
        <v>0.19049970323784696</v>
      </c>
      <c r="FL37">
        <f>SQRT($A39-$A37)</f>
        <v>1.4142135623730951</v>
      </c>
      <c r="FM37" s="1">
        <f>(FK37/FL37)</f>
        <v>0.13470363197350649</v>
      </c>
      <c r="FN37" s="1">
        <f>EXP(FM37)</f>
        <v>1.1441976305029478</v>
      </c>
      <c r="FS37">
        <f>LN(AG39/AG37)</f>
        <v>0.12014431184206321</v>
      </c>
      <c r="FT37">
        <f>SQRT($A39-$A37)</f>
        <v>1.4142135623730951</v>
      </c>
      <c r="FU37" s="1">
        <f>(FS37/FT37)</f>
        <v>8.4954857624514116E-2</v>
      </c>
      <c r="FV37" s="1">
        <f>EXP(FU37)</f>
        <v>1.0886679205330716</v>
      </c>
      <c r="FW37">
        <f>LN(AH39/AH37)</f>
        <v>0.53630470906697558</v>
      </c>
      <c r="FX37">
        <f>SQRT($A39-$A37)</f>
        <v>1.4142135623730951</v>
      </c>
      <c r="FY37" s="1">
        <f>(FW37/FX37)</f>
        <v>0.37922469656353691</v>
      </c>
      <c r="FZ37" s="1">
        <f>EXP(FY37)</f>
        <v>1.4611513145396764</v>
      </c>
      <c r="HW37">
        <f t="shared" si="146"/>
        <v>-0.17460492783281006</v>
      </c>
      <c r="HX37">
        <f>SQRT($A38-$A37)</f>
        <v>1</v>
      </c>
      <c r="HY37" s="1">
        <f t="shared" si="147"/>
        <v>-0.17460492783281006</v>
      </c>
      <c r="HZ37" s="1">
        <f t="shared" si="135"/>
        <v>0.83978873239436624</v>
      </c>
    </row>
    <row r="38" spans="1:242" x14ac:dyDescent="0.3">
      <c r="A38">
        <v>2018</v>
      </c>
      <c r="F38">
        <v>132</v>
      </c>
      <c r="P38">
        <v>8402</v>
      </c>
      <c r="Q38">
        <v>15404</v>
      </c>
      <c r="R38" s="2">
        <v>510</v>
      </c>
      <c r="S38" s="2">
        <v>1463</v>
      </c>
      <c r="AA38">
        <v>10764</v>
      </c>
      <c r="AC38" s="3"/>
      <c r="AD38" s="3"/>
      <c r="AE38" s="3"/>
      <c r="AF38" s="3"/>
      <c r="AG38" s="3"/>
      <c r="AH38" s="3"/>
      <c r="AI38" s="3"/>
      <c r="AU38">
        <v>477</v>
      </c>
      <c r="AV38">
        <v>379</v>
      </c>
      <c r="AW38">
        <v>1226</v>
      </c>
      <c r="BO38">
        <f>LN(F41/F38)</f>
        <v>-0.48835276791393206</v>
      </c>
      <c r="BP38">
        <f>SQRT($A41-$A38)</f>
        <v>1.7320508075688772</v>
      </c>
      <c r="BQ38" s="1">
        <f>(BO38/BP38)</f>
        <v>-0.28195060201460753</v>
      </c>
      <c r="BR38" s="1">
        <f>EXP(BQ38)</f>
        <v>0.75431094505382912</v>
      </c>
      <c r="EU38">
        <f>LN(AA41/AA38)</f>
        <v>-0.15537464174287272</v>
      </c>
      <c r="EV38">
        <f>SQRT($A41-$A38)</f>
        <v>1.7320508075688772</v>
      </c>
      <c r="EW38" s="1">
        <f>(EU38/EV38)</f>
        <v>-8.9705591235489227E-2</v>
      </c>
      <c r="EX38" s="1">
        <f>EXP(EW38)</f>
        <v>0.91420029423440663</v>
      </c>
      <c r="HW38">
        <f t="shared" si="146"/>
        <v>8.4387392277547407E-2</v>
      </c>
      <c r="HX38">
        <f>SQRT($A39-$A38)</f>
        <v>1</v>
      </c>
      <c r="HY38" s="1">
        <f t="shared" si="147"/>
        <v>8.4387392277547407E-2</v>
      </c>
      <c r="HZ38" s="1">
        <f t="shared" si="135"/>
        <v>1.0880503144654088</v>
      </c>
      <c r="IA38">
        <f>LN(AV40/AV38)</f>
        <v>-1.5957785438610806E-2</v>
      </c>
      <c r="IB38">
        <f>SQRT($A40-$A38)</f>
        <v>1.4142135623730951</v>
      </c>
      <c r="IC38" s="1">
        <f t="shared" ref="IC38" si="148">(IA38/IB38)</f>
        <v>-1.1283858296361644E-2</v>
      </c>
      <c r="ID38" s="1">
        <f t="shared" ref="ID38" si="149">EXP(IC38)</f>
        <v>0.98877956565289582</v>
      </c>
      <c r="IE38">
        <f>LN(AW40/AW38)</f>
        <v>0.20037404758100799</v>
      </c>
      <c r="IF38">
        <f>SQRT($A40-$A38)</f>
        <v>1.4142135623730951</v>
      </c>
      <c r="IG38" s="1">
        <f t="shared" ref="IG38" si="150">(IE38/IF38)</f>
        <v>0.14168584781832666</v>
      </c>
      <c r="IH38" s="1">
        <f t="shared" ref="IH38" si="151">EXP(IG38)</f>
        <v>1.1522146209371789</v>
      </c>
    </row>
    <row r="39" spans="1:242" x14ac:dyDescent="0.3">
      <c r="A39">
        <v>2019</v>
      </c>
      <c r="AB39" s="2">
        <v>81</v>
      </c>
      <c r="AC39" s="3"/>
      <c r="AD39">
        <v>314</v>
      </c>
      <c r="AE39">
        <v>663</v>
      </c>
      <c r="AF39" s="3"/>
      <c r="AG39">
        <v>159</v>
      </c>
      <c r="AH39">
        <v>795</v>
      </c>
      <c r="AI39">
        <v>521</v>
      </c>
      <c r="AU39">
        <v>519</v>
      </c>
      <c r="HW39">
        <f t="shared" si="146"/>
        <v>-5.3425166673580556E-2</v>
      </c>
      <c r="HX39">
        <f>SQRT($A40-$A39)</f>
        <v>1</v>
      </c>
      <c r="HY39" s="1">
        <f t="shared" si="147"/>
        <v>-5.3425166673580556E-2</v>
      </c>
      <c r="HZ39" s="1">
        <f t="shared" si="135"/>
        <v>0.94797687861271673</v>
      </c>
    </row>
    <row r="40" spans="1:242" x14ac:dyDescent="0.3">
      <c r="A40">
        <v>2020</v>
      </c>
      <c r="V40">
        <v>528</v>
      </c>
      <c r="AU40">
        <v>492</v>
      </c>
      <c r="AV40">
        <v>373</v>
      </c>
      <c r="AW40">
        <v>1498</v>
      </c>
      <c r="EA40">
        <f>LN(V42/V40)</f>
        <v>1.1580478497023541</v>
      </c>
      <c r="EB40">
        <f>SQRT($A42-$A40)</f>
        <v>1.4142135623730951</v>
      </c>
      <c r="EC40" s="1">
        <f>(EA40/EB40)</f>
        <v>0.81886348746303428</v>
      </c>
      <c r="ED40" s="1">
        <f>EXP(EC40)</f>
        <v>2.2679208518042757</v>
      </c>
      <c r="HW40">
        <f>LN(AU42/AU40)</f>
        <v>0.15936355001579153</v>
      </c>
      <c r="HX40">
        <f>SQRT($A42-$A40)</f>
        <v>1.4142135623730951</v>
      </c>
      <c r="HY40" s="1">
        <f t="shared" si="147"/>
        <v>0.11268704689012772</v>
      </c>
      <c r="HZ40" s="1">
        <f t="shared" si="135"/>
        <v>1.1192815954757176</v>
      </c>
    </row>
    <row r="41" spans="1:242" x14ac:dyDescent="0.3">
      <c r="A41">
        <v>2021</v>
      </c>
      <c r="F41">
        <v>81</v>
      </c>
      <c r="AA41">
        <v>9215</v>
      </c>
      <c r="EU41">
        <f>LN(AA42/AA41)</f>
        <v>0.15982403729241465</v>
      </c>
      <c r="EV41">
        <f>SQRT($A42-$A41)</f>
        <v>1</v>
      </c>
      <c r="EW41" s="1">
        <f>(EU41/EV41)</f>
        <v>0.15982403729241465</v>
      </c>
      <c r="EX41" s="1">
        <f>EXP(EW41)</f>
        <v>1.173304395008139</v>
      </c>
    </row>
    <row r="42" spans="1:242" x14ac:dyDescent="0.3">
      <c r="A42">
        <v>2022</v>
      </c>
      <c r="F42">
        <v>345</v>
      </c>
      <c r="I42">
        <v>5982</v>
      </c>
      <c r="J42" s="2">
        <v>0.1</v>
      </c>
      <c r="K42">
        <v>8745</v>
      </c>
      <c r="N42">
        <v>3840</v>
      </c>
      <c r="O42" s="2">
        <v>552</v>
      </c>
      <c r="V42">
        <v>1681</v>
      </c>
      <c r="AA42">
        <v>10812</v>
      </c>
      <c r="AU42">
        <v>577</v>
      </c>
      <c r="HW42">
        <f t="shared" ref="HW42" si="152">LN(AU43/AU42)</f>
        <v>0.11913009638158327</v>
      </c>
      <c r="HX42">
        <f>SQRT($A43-$A42)</f>
        <v>1</v>
      </c>
      <c r="HY42" s="1">
        <f t="shared" ref="HY42" si="153">(HW42/HX42)</f>
        <v>0.11913009638158327</v>
      </c>
      <c r="HZ42" s="1">
        <f t="shared" si="135"/>
        <v>1.1265164644714039</v>
      </c>
    </row>
    <row r="43" spans="1:242" x14ac:dyDescent="0.3">
      <c r="A43">
        <v>2023</v>
      </c>
      <c r="AU43">
        <v>650</v>
      </c>
    </row>
    <row r="44" spans="1:242" x14ac:dyDescent="0.3">
      <c r="A4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estimates</vt:lpstr>
      <vt:lpstr>DA 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RAR Guldemond</dc:creator>
  <cp:lastModifiedBy>Robert Buitenwerf</cp:lastModifiedBy>
  <dcterms:created xsi:type="dcterms:W3CDTF">2024-07-03T12:07:09Z</dcterms:created>
  <dcterms:modified xsi:type="dcterms:W3CDTF">2024-08-26T14:00:03Z</dcterms:modified>
</cp:coreProperties>
</file>