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kznwildlife-my.sharepoint.com/personal/rickertw_kznwildlife_com/Documents/DEZ/Regional/Research (E22.1)/Research projects/Guldemont_Jonas_Elephants/"/>
    </mc:Choice>
  </mc:AlternateContent>
  <xr:revisionPtr revIDLastSave="0" documentId="8_{53F2D8B7-22FA-434C-9318-DF5F2A4D8DE2}" xr6:coauthVersionLast="47" xr6:coauthVersionMax="47" xr10:uidLastSave="{00000000-0000-0000-0000-000000000000}"/>
  <bookViews>
    <workbookView xWindow="-120" yWindow="-120" windowWidth="29040" windowHeight="15720" activeTab="1" xr2:uid="{9A6E7CFA-A5D2-4C2C-83E9-472DBAB44E84}"/>
  </bookViews>
  <sheets>
    <sheet name="Introduction history" sheetId="1" r:id="rId1"/>
    <sheet name="Census data" sheetId="2" r:id="rId2"/>
    <sheet name="Dedicated count 2014" sheetId="5" r:id="rId3"/>
    <sheet name="Contraception counts" sheetId="3" r:id="rId4"/>
  </sheets>
  <externalReferences>
    <externalReference r:id="rId5"/>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5" l="1"/>
  <c r="L10" i="5"/>
  <c r="K10" i="5"/>
  <c r="J10" i="5"/>
  <c r="H10" i="5"/>
  <c r="I10" i="5" s="1"/>
  <c r="G10" i="5"/>
  <c r="F10" i="5"/>
  <c r="E10" i="5"/>
  <c r="D97" i="3" l="1"/>
  <c r="C97" i="3"/>
  <c r="U10" i="2"/>
  <c r="T10" i="2"/>
  <c r="S10" i="2"/>
  <c r="R10" i="2"/>
  <c r="Q10" i="2"/>
  <c r="P10" i="2"/>
  <c r="O10" i="2"/>
  <c r="M10" i="2"/>
  <c r="K10" i="2"/>
  <c r="J10" i="2"/>
  <c r="I10" i="2"/>
</calcChain>
</file>

<file path=xl/sharedStrings.xml><?xml version="1.0" encoding="utf-8"?>
<sst xmlns="http://schemas.openxmlformats.org/spreadsheetml/2006/main" count="189" uniqueCount="84">
  <si>
    <t>Year</t>
  </si>
  <si>
    <t>Elephant (Census)</t>
  </si>
  <si>
    <t>145 counted in March 2014</t>
  </si>
  <si>
    <t>Actual</t>
  </si>
  <si>
    <t>7.8% increase</t>
  </si>
  <si>
    <t>6% increase</t>
  </si>
  <si>
    <t>At the time of the introduction to IGR, only elephants with shoulder height &lt;2m could be moved. This meant that the animals introduced to IGR were all &lt;12 years old and were orphans remaining from the culls in Kruger National Park. On the 5th of May 1990, three male and three female, juvenile elephant calves were released into a boma on IGR. On the 29th of May 1990 a further four males and one female were released into the boma on IGR after which the entire group was released, from the boma, into the protected area on the 1st of July 1990. A second group of 12 elephants was released into the protected area on the 1st of August 1991 consisting of two males and four females that were released into the boma on the 22nd of April 1991 and four males and two females that were released into the boma on the 24th of April 1991. According to reports the two groups joined within 48 hours of release of the second group from the boma. On the 5th of May 1992 another group of elephants was introduced into IGR, consisting of seven animals between the ages of 3 to 6 years (three males and four females). This group however only met up with the other group of elephants on the protected area six months later. On the 18th of June 1993 the last group of elephants was introduced consisting of 10 males and 10 females.  Natural mortality in the IGR population is low owing to an absence of predators and because the population is young. In 1997 the first calf was born</t>
  </si>
  <si>
    <t>No</t>
  </si>
  <si>
    <t>Date</t>
  </si>
  <si>
    <t>Total No. per Herd</t>
  </si>
  <si>
    <t>No. of Calves &lt; 1yr</t>
  </si>
  <si>
    <t>Ferry Back</t>
  </si>
  <si>
    <t>05/09/2014</t>
  </si>
  <si>
    <t>0</t>
  </si>
  <si>
    <t>Total:</t>
  </si>
  <si>
    <t xml:space="preserve">Ferry </t>
  </si>
  <si>
    <t>21/10/2014</t>
  </si>
  <si>
    <t>06/10/2015</t>
  </si>
  <si>
    <t>71</t>
  </si>
  <si>
    <t>15</t>
  </si>
  <si>
    <t>Ferry</t>
  </si>
  <si>
    <t>07/10/2015</t>
  </si>
  <si>
    <t>15/10/2016</t>
  </si>
  <si>
    <t>4</t>
  </si>
  <si>
    <t>2</t>
  </si>
  <si>
    <t>8</t>
  </si>
  <si>
    <t>1</t>
  </si>
  <si>
    <t>31</t>
  </si>
  <si>
    <t>7</t>
  </si>
  <si>
    <t>12</t>
  </si>
  <si>
    <t>14/10/2016</t>
  </si>
  <si>
    <t>No. of Calves &lt;1yr</t>
  </si>
  <si>
    <t>31.10.2017</t>
  </si>
  <si>
    <t>01.11.2017</t>
  </si>
  <si>
    <t>Total</t>
  </si>
  <si>
    <t>22.09.2018</t>
  </si>
  <si>
    <t>21.09.2018</t>
  </si>
  <si>
    <t>No.</t>
  </si>
  <si>
    <t>30.10.2019</t>
  </si>
  <si>
    <t>01.11.2019</t>
  </si>
  <si>
    <t>No. of calves &lt;1yr</t>
  </si>
  <si>
    <t>22.09.2020</t>
  </si>
  <si>
    <t>21.09.2020</t>
  </si>
  <si>
    <t>26.08.2021</t>
  </si>
  <si>
    <t>25.08.2021</t>
  </si>
  <si>
    <t>27.09.2022</t>
  </si>
  <si>
    <t>08.10.2023</t>
  </si>
  <si>
    <t>16.10.2024</t>
  </si>
  <si>
    <t>Herd</t>
  </si>
  <si>
    <t>Collar numbers</t>
  </si>
  <si>
    <t>Known animals</t>
  </si>
  <si>
    <t>Total size</t>
  </si>
  <si>
    <t>Adult males</t>
  </si>
  <si>
    <t>Adult females</t>
  </si>
  <si>
    <t>Adult unknown</t>
  </si>
  <si>
    <t>Subadult</t>
  </si>
  <si>
    <t>Juvenile</t>
  </si>
  <si>
    <t>Calf</t>
  </si>
  <si>
    <t>1 yrs</t>
  </si>
  <si>
    <t>Newborn</t>
  </si>
  <si>
    <t>AAD+E9E+bull 18</t>
  </si>
  <si>
    <t>DC</t>
  </si>
  <si>
    <t>Bull 8 and New Bull</t>
  </si>
  <si>
    <t>cow 11 and new cow</t>
  </si>
  <si>
    <t xml:space="preserve">cow </t>
  </si>
  <si>
    <t>Bull 2</t>
  </si>
  <si>
    <t>No Collar-Ngubhu</t>
  </si>
  <si>
    <t>Ngubhu Bulls</t>
  </si>
  <si>
    <t>None</t>
  </si>
  <si>
    <t>No collar Promised land</t>
  </si>
  <si>
    <t>Totals</t>
  </si>
  <si>
    <t>Range</t>
  </si>
  <si>
    <t>ID card</t>
  </si>
  <si>
    <t>AAD</t>
  </si>
  <si>
    <t>E9E</t>
  </si>
  <si>
    <t>Bull 18</t>
  </si>
  <si>
    <t>Cow 11</t>
  </si>
  <si>
    <t>New Cow</t>
  </si>
  <si>
    <t>Bull 8</t>
  </si>
  <si>
    <t>New Bull</t>
  </si>
  <si>
    <t>Swek tusk</t>
  </si>
  <si>
    <t xml:space="preserve">A helicopter based elephant focussed census was performed by 3 experienced observers on the 15 March 2014.  </t>
  </si>
  <si>
    <t>A total count method was used, where effort was focused on known locations of elephants determined from the GPS satellite collars previously installed on certain individuals.</t>
  </si>
  <si>
    <t>Elephant (Adjusted/modelled)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</si>
</sst>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u/>
      <sz val="11"/>
      <color theme="1"/>
      <name val="Aptos Narrow"/>
      <family val="2"/>
      <scheme val="minor"/>
    </font>
    <font>
      <sz val="10"/>
      <color theme="1"/>
      <name val="Arial"/>
      <family val="2"/>
    </font>
  </fonts>
  <fills count="12">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39997558519241921"/>
        <bgColor indexed="64"/>
      </patternFill>
    </fill>
    <fill>
      <patternFill patternType="solid">
        <fgColor theme="6"/>
        <bgColor indexed="64"/>
      </patternFill>
    </fill>
    <fill>
      <patternFill patternType="solid">
        <fgColor theme="0" tint="-0.14999847407452621"/>
        <bgColor indexed="64"/>
      </patternFill>
    </fill>
    <fill>
      <patternFill patternType="solid">
        <fgColor theme="6"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49">
    <xf numFmtId="0" fontId="0" fillId="0" borderId="0" xfId="0"/>
    <xf numFmtId="0" fontId="2" fillId="2" borderId="1" xfId="0" applyFont="1" applyFill="1" applyBorder="1"/>
    <xf numFmtId="0" fontId="1" fillId="0" borderId="1" xfId="0" applyFont="1" applyBorder="1"/>
    <xf numFmtId="0" fontId="0" fillId="0" borderId="0" xfId="0" applyAlignment="1">
      <alignment horizontal="center"/>
    </xf>
    <xf numFmtId="0" fontId="0" fillId="0" borderId="1" xfId="0" applyBorder="1"/>
    <xf numFmtId="0" fontId="0" fillId="0" borderId="1" xfId="0" applyBorder="1" applyAlignment="1">
      <alignment horizontal="center"/>
    </xf>
    <xf numFmtId="0" fontId="1" fillId="3" borderId="1" xfId="0" applyFont="1" applyFill="1" applyBorder="1"/>
    <xf numFmtId="0" fontId="1" fillId="3" borderId="2" xfId="0" applyFont="1" applyFill="1" applyBorder="1"/>
    <xf numFmtId="0" fontId="0" fillId="3" borderId="0" xfId="0" applyFill="1"/>
    <xf numFmtId="0" fontId="0" fillId="3" borderId="1" xfId="0" applyFill="1" applyBorder="1"/>
    <xf numFmtId="0" fontId="0" fillId="3" borderId="1" xfId="0" applyFill="1" applyBorder="1" applyAlignment="1">
      <alignment horizontal="center"/>
    </xf>
    <xf numFmtId="0" fontId="0" fillId="3" borderId="2" xfId="0" applyFill="1" applyBorder="1"/>
    <xf numFmtId="0" fontId="1" fillId="0" borderId="0" xfId="0" applyFont="1"/>
    <xf numFmtId="0" fontId="3" fillId="0" borderId="0" xfId="0" applyFont="1" applyAlignment="1">
      <alignment horizontal="justify" vertical="center"/>
    </xf>
    <xf numFmtId="0" fontId="3" fillId="0" borderId="0" xfId="0" applyFont="1"/>
    <xf numFmtId="0" fontId="1" fillId="0" borderId="1" xfId="0" applyFont="1" applyBorder="1" applyAlignment="1">
      <alignment horizontal="center"/>
    </xf>
    <xf numFmtId="14" fontId="0" fillId="0" borderId="1" xfId="0" applyNumberFormat="1" applyBorder="1" applyAlignment="1">
      <alignment horizontal="center"/>
    </xf>
    <xf numFmtId="49" fontId="0" fillId="0" borderId="1" xfId="0" applyNumberFormat="1" applyBorder="1" applyAlignment="1">
      <alignment horizontal="center"/>
    </xf>
    <xf numFmtId="14" fontId="1" fillId="0" borderId="1" xfId="0" applyNumberFormat="1" applyFont="1" applyBorder="1" applyAlignment="1">
      <alignment horizontal="center"/>
    </xf>
    <xf numFmtId="0" fontId="2" fillId="0" borderId="0" xfId="0" applyFont="1"/>
    <xf numFmtId="0" fontId="2" fillId="4" borderId="0" xfId="0" applyFont="1" applyFill="1"/>
    <xf numFmtId="0" fontId="2" fillId="5" borderId="0" xfId="0" applyFont="1" applyFill="1"/>
    <xf numFmtId="0" fontId="2" fillId="6" borderId="0" xfId="0" applyFont="1" applyFill="1"/>
    <xf numFmtId="0" fontId="2" fillId="3" borderId="0" xfId="0" applyFont="1" applyFill="1"/>
    <xf numFmtId="0" fontId="2" fillId="7" borderId="0" xfId="0" applyFont="1" applyFill="1"/>
    <xf numFmtId="0" fontId="2" fillId="8" borderId="0" xfId="0" applyFont="1" applyFill="1"/>
    <xf numFmtId="0" fontId="0" fillId="9" borderId="0" xfId="0" applyFill="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2" fillId="10" borderId="3" xfId="0" applyFont="1" applyFill="1" applyBorder="1"/>
    <xf numFmtId="0" fontId="0" fillId="4" borderId="2" xfId="0" applyFill="1" applyBorder="1"/>
    <xf numFmtId="0" fontId="0" fillId="5" borderId="2" xfId="0" applyFill="1" applyBorder="1"/>
    <xf numFmtId="0" fontId="0" fillId="7" borderId="0" xfId="0" applyFill="1"/>
    <xf numFmtId="0" fontId="0" fillId="6" borderId="2" xfId="0" applyFill="1" applyBorder="1"/>
    <xf numFmtId="0" fontId="0" fillId="11" borderId="0" xfId="0" applyFill="1"/>
    <xf numFmtId="0" fontId="0" fillId="7" borderId="2" xfId="0" applyFill="1" applyBorder="1"/>
    <xf numFmtId="0" fontId="0" fillId="10" borderId="4" xfId="0" applyFill="1" applyBorder="1"/>
    <xf numFmtId="0" fontId="0" fillId="8" borderId="5" xfId="0" applyFill="1" applyBorder="1"/>
    <xf numFmtId="0" fontId="0" fillId="4" borderId="6" xfId="0" applyFill="1" applyBorder="1"/>
    <xf numFmtId="0" fontId="0" fillId="5" borderId="6" xfId="0" applyFill="1" applyBorder="1"/>
    <xf numFmtId="0" fontId="0" fillId="6" borderId="6" xfId="0" applyFill="1" applyBorder="1"/>
    <xf numFmtId="0" fontId="0" fillId="3" borderId="6" xfId="0" applyFill="1" applyBorder="1"/>
    <xf numFmtId="0" fontId="0" fillId="7" borderId="6" xfId="0" applyFill="1" applyBorder="1"/>
    <xf numFmtId="0" fontId="0" fillId="8" borderId="6" xfId="0" applyFill="1" applyBorder="1"/>
    <xf numFmtId="0" fontId="2" fillId="10" borderId="7" xfId="0" applyFont="1" applyFill="1" applyBorder="1"/>
    <xf numFmtId="0" fontId="2" fillId="10"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Elephant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6.0601851851851872E-2"/>
          <c:w val="0.89019685039370078"/>
          <c:h val="0.71972914843977831"/>
        </c:manualLayout>
      </c:layout>
      <c:lineChart>
        <c:grouping val="standard"/>
        <c:varyColors val="0"/>
        <c:ser>
          <c:idx val="0"/>
          <c:order val="0"/>
          <c:tx>
            <c:v>Census</c:v>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numRef>
              <c:f>'Census data'!$M$1:$Z$1</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'Census data'!$M$2:$Z$2</c:f>
              <c:numCache>
                <c:formatCode>General</c:formatCode>
                <c:ptCount val="14"/>
                <c:pt idx="0">
                  <c:v>110</c:v>
                </c:pt>
                <c:pt idx="1">
                  <c:v>73</c:v>
                </c:pt>
                <c:pt idx="2">
                  <c:v>181</c:v>
                </c:pt>
                <c:pt idx="3">
                  <c:v>90</c:v>
                </c:pt>
                <c:pt idx="4">
                  <c:v>126</c:v>
                </c:pt>
                <c:pt idx="5">
                  <c:v>145</c:v>
                </c:pt>
                <c:pt idx="6">
                  <c:v>193</c:v>
                </c:pt>
                <c:pt idx="7">
                  <c:v>154</c:v>
                </c:pt>
                <c:pt idx="9">
                  <c:v>234</c:v>
                </c:pt>
                <c:pt idx="10">
                  <c:v>186</c:v>
                </c:pt>
                <c:pt idx="13">
                  <c:v>153</c:v>
                </c:pt>
              </c:numCache>
            </c:numRef>
          </c:val>
          <c:smooth val="0"/>
          <c:extLst>
            <c:ext xmlns:c16="http://schemas.microsoft.com/office/drawing/2014/chart" uri="{C3380CC4-5D6E-409C-BE32-E72D297353CC}">
              <c16:uniqueId val="{00000001-C9D1-4AB4-9B86-9A7D6927967D}"/>
            </c:ext>
          </c:extLst>
        </c:ser>
        <c:ser>
          <c:idx val="1"/>
          <c:order val="1"/>
          <c:tx>
            <c:v>Modelled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'Census data'!$M$1:$Z$1</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'Census data'!$M$3:$Z$3</c:f>
              <c:numCache>
                <c:formatCode>General</c:formatCode>
                <c:ptCount val="14"/>
                <c:pt idx="0">
                  <c:v>119</c:v>
                </c:pt>
                <c:pt idx="1">
                  <c:v>156</c:v>
                </c:pt>
                <c:pt idx="3">
                  <c:v>154</c:v>
                </c:pt>
                <c:pt idx="4">
                  <c:v>162</c:v>
                </c:pt>
                <c:pt idx="5">
                  <c:v>172</c:v>
                </c:pt>
                <c:pt idx="6">
                  <c:v>193</c:v>
                </c:pt>
                <c:pt idx="7">
                  <c:v>182</c:v>
                </c:pt>
                <c:pt idx="8">
                  <c:v>191</c:v>
                </c:pt>
                <c:pt idx="9">
                  <c:v>234</c:v>
                </c:pt>
                <c:pt idx="10">
                  <c:v>244</c:v>
                </c:pt>
                <c:pt idx="11">
                  <c:v>251</c:v>
                </c:pt>
                <c:pt idx="12">
                  <c:v>265</c:v>
                </c:pt>
                <c:pt idx="13">
                  <c:v>280</c:v>
                </c:pt>
              </c:numCache>
            </c:numRef>
          </c:val>
          <c:smooth val="0"/>
          <c:extLst>
            <c:ext xmlns:c16="http://schemas.microsoft.com/office/drawing/2014/chart" uri="{C3380CC4-5D6E-409C-BE32-E72D297353CC}">
              <c16:uniqueId val="{00000002-C9D1-4AB4-9B86-9A7D6927967D}"/>
            </c:ext>
          </c:extLst>
        </c:ser>
        <c:dLbls>
          <c:showLegendKey val="0"/>
          <c:showVal val="0"/>
          <c:showCatName val="0"/>
          <c:showSerName val="0"/>
          <c:showPercent val="0"/>
          <c:showBubbleSize val="0"/>
        </c:dLbls>
        <c:marker val="1"/>
        <c:smooth val="0"/>
        <c:axId val="202400664"/>
        <c:axId val="202400272"/>
      </c:lineChart>
      <c:catAx>
        <c:axId val="202400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0272"/>
        <c:crosses val="autoZero"/>
        <c:auto val="1"/>
        <c:lblAlgn val="ctr"/>
        <c:lblOffset val="100"/>
        <c:noMultiLvlLbl val="0"/>
      </c:catAx>
      <c:valAx>
        <c:axId val="20240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0664"/>
        <c:crosses val="autoZero"/>
        <c:crossBetween val="between"/>
      </c:valAx>
      <c:spPr>
        <a:noFill/>
        <a:ln>
          <a:noFill/>
        </a:ln>
        <a:effectLst/>
      </c:spPr>
    </c:plotArea>
    <c:legend>
      <c:legendPos val="b"/>
      <c:layout>
        <c:manualLayout>
          <c:xMode val="edge"/>
          <c:yMode val="edge"/>
          <c:x val="3.2679790026246713E-2"/>
          <c:y val="0.86458223972003501"/>
          <c:w val="0.94575153105861764"/>
          <c:h val="0.10763998250218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'Census data'!$A$2</c:f>
              <c:strCache>
                <c:ptCount val="1"/>
                <c:pt idx="0">
                  <c:v>Elephant (Census)</c:v>
                </c:pt>
              </c:strCache>
            </c:strRef>
          </c:tx>
          <c:spPr>
            <a:solidFill>
              <a:schemeClr val="accent1"/>
            </a:solidFill>
            <a:ln>
              <a:noFill/>
            </a:ln>
            <a:effectLst/>
            <a:sp3d/>
          </c:spPr>
          <c:invertIfNegative val="0"/>
          <c:cat>
            <c:numRef>
              <c:f>'Census data'!$C$1:$R$1</c:f>
              <c:numCache>
                <c:formatCode>General</c:formatCode>
                <c:ptCount val="1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numCache>
            </c:numRef>
          </c:cat>
          <c:val>
            <c:numRef>
              <c:f>'Census data'!$C$2:$R$2</c:f>
              <c:numCache>
                <c:formatCode>General</c:formatCode>
                <c:ptCount val="16"/>
                <c:pt idx="0">
                  <c:v>22</c:v>
                </c:pt>
                <c:pt idx="1">
                  <c:v>93</c:v>
                </c:pt>
                <c:pt idx="2">
                  <c:v>57</c:v>
                </c:pt>
                <c:pt idx="3">
                  <c:v>79</c:v>
                </c:pt>
                <c:pt idx="4">
                  <c:v>86</c:v>
                </c:pt>
                <c:pt idx="5">
                  <c:v>69</c:v>
                </c:pt>
                <c:pt idx="6">
                  <c:v>70</c:v>
                </c:pt>
                <c:pt idx="7">
                  <c:v>91</c:v>
                </c:pt>
                <c:pt idx="8">
                  <c:v>95</c:v>
                </c:pt>
                <c:pt idx="10">
                  <c:v>110</c:v>
                </c:pt>
                <c:pt idx="11">
                  <c:v>73</c:v>
                </c:pt>
                <c:pt idx="12">
                  <c:v>181</c:v>
                </c:pt>
                <c:pt idx="13">
                  <c:v>90</c:v>
                </c:pt>
                <c:pt idx="14">
                  <c:v>126</c:v>
                </c:pt>
                <c:pt idx="15">
                  <c:v>145</c:v>
                </c:pt>
              </c:numCache>
            </c:numRef>
          </c:val>
          <c:extLst>
            <c:ext xmlns:c16="http://schemas.microsoft.com/office/drawing/2014/chart" uri="{C3380CC4-5D6E-409C-BE32-E72D297353CC}">
              <c16:uniqueId val="{00000000-F822-46DA-9369-30B9EA4AA868}"/>
            </c:ext>
          </c:extLst>
        </c:ser>
        <c:ser>
          <c:idx val="1"/>
          <c:order val="1"/>
          <c:tx>
            <c:strRef>
              <c:f>'Census data'!$A$3</c:f>
              <c:strCache>
                <c:ptCount val="1"/>
                <c:pt idx="0">
                  <c:v>Elephant (Adjusted/modelled)</c:v>
                </c:pt>
              </c:strCache>
            </c:strRef>
          </c:tx>
          <c:spPr>
            <a:solidFill>
              <a:schemeClr val="accent2"/>
            </a:solidFill>
            <a:ln>
              <a:noFill/>
            </a:ln>
            <a:effectLst/>
            <a:sp3d/>
          </c:spPr>
          <c:invertIfNegative val="0"/>
          <c:cat>
            <c:numRef>
              <c:f>'Census data'!$C$1:$R$1</c:f>
              <c:numCache>
                <c:formatCode>General</c:formatCode>
                <c:ptCount val="1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numCache>
            </c:numRef>
          </c:cat>
          <c:val>
            <c:numRef>
              <c:f>'Census data'!$C$3:$R$3</c:f>
              <c:numCache>
                <c:formatCode>General</c:formatCode>
                <c:ptCount val="16"/>
                <c:pt idx="0">
                  <c:v>65</c:v>
                </c:pt>
                <c:pt idx="1">
                  <c:v>70</c:v>
                </c:pt>
                <c:pt idx="2">
                  <c:v>81</c:v>
                </c:pt>
                <c:pt idx="8">
                  <c:v>110</c:v>
                </c:pt>
                <c:pt idx="10">
                  <c:v>119</c:v>
                </c:pt>
                <c:pt idx="11">
                  <c:v>156</c:v>
                </c:pt>
                <c:pt idx="13">
                  <c:v>154</c:v>
                </c:pt>
                <c:pt idx="14">
                  <c:v>162</c:v>
                </c:pt>
                <c:pt idx="15">
                  <c:v>172</c:v>
                </c:pt>
              </c:numCache>
            </c:numRef>
          </c:val>
          <c:extLst>
            <c:ext xmlns:c16="http://schemas.microsoft.com/office/drawing/2014/chart" uri="{C3380CC4-5D6E-409C-BE32-E72D297353CC}">
              <c16:uniqueId val="{00000001-F822-46DA-9369-30B9EA4AA868}"/>
            </c:ext>
          </c:extLst>
        </c:ser>
        <c:dLbls>
          <c:showLegendKey val="0"/>
          <c:showVal val="0"/>
          <c:showCatName val="0"/>
          <c:showSerName val="0"/>
          <c:showPercent val="0"/>
          <c:showBubbleSize val="0"/>
        </c:dLbls>
        <c:gapWidth val="150"/>
        <c:shape val="box"/>
        <c:axId val="202399488"/>
        <c:axId val="202402232"/>
        <c:axId val="0"/>
      </c:bar3DChart>
      <c:catAx>
        <c:axId val="20239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2232"/>
        <c:crosses val="autoZero"/>
        <c:auto val="1"/>
        <c:lblAlgn val="ctr"/>
        <c:lblOffset val="100"/>
        <c:noMultiLvlLbl val="0"/>
      </c:catAx>
      <c:valAx>
        <c:axId val="202402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og"/>
            <c:dispRSqr val="1"/>
            <c:dispEq val="1"/>
            <c:trendlineLbl>
              <c:layout>
                <c:manualLayout>
                  <c:x val="2.3799650043744531E-2"/>
                  <c:y val="0.185657261592300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'Census data'!$C$7:$Y$7</c:f>
              <c:numCache>
                <c:formatCode>General</c:formatCode>
                <c:ptCount val="23"/>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numCache>
            </c:numRef>
          </c:cat>
          <c:val>
            <c:numRef>
              <c:f>'Census data'!$C$8:$Y$8</c:f>
              <c:numCache>
                <c:formatCode>General</c:formatCode>
                <c:ptCount val="23"/>
                <c:pt idx="0">
                  <c:v>65</c:v>
                </c:pt>
                <c:pt idx="1">
                  <c:v>70</c:v>
                </c:pt>
                <c:pt idx="2">
                  <c:v>81</c:v>
                </c:pt>
                <c:pt idx="3">
                  <c:v>79</c:v>
                </c:pt>
                <c:pt idx="4">
                  <c:v>86</c:v>
                </c:pt>
                <c:pt idx="5">
                  <c:v>69</c:v>
                </c:pt>
                <c:pt idx="6">
                  <c:v>70</c:v>
                </c:pt>
                <c:pt idx="7">
                  <c:v>91</c:v>
                </c:pt>
                <c:pt idx="8">
                  <c:v>110</c:v>
                </c:pt>
                <c:pt idx="10">
                  <c:v>119</c:v>
                </c:pt>
                <c:pt idx="12">
                  <c:v>145</c:v>
                </c:pt>
                <c:pt idx="13">
                  <c:v>154</c:v>
                </c:pt>
                <c:pt idx="14">
                  <c:v>162</c:v>
                </c:pt>
                <c:pt idx="15">
                  <c:v>172</c:v>
                </c:pt>
                <c:pt idx="16">
                  <c:v>193</c:v>
                </c:pt>
                <c:pt idx="17">
                  <c:v>182</c:v>
                </c:pt>
                <c:pt idx="18">
                  <c:v>191</c:v>
                </c:pt>
                <c:pt idx="19">
                  <c:v>234</c:v>
                </c:pt>
                <c:pt idx="20">
                  <c:v>244</c:v>
                </c:pt>
                <c:pt idx="21">
                  <c:v>251</c:v>
                </c:pt>
                <c:pt idx="22">
                  <c:v>265</c:v>
                </c:pt>
              </c:numCache>
            </c:numRef>
          </c:val>
          <c:smooth val="0"/>
          <c:extLst>
            <c:ext xmlns:c16="http://schemas.microsoft.com/office/drawing/2014/chart" uri="{C3380CC4-5D6E-409C-BE32-E72D297353CC}">
              <c16:uniqueId val="{00000001-AC59-4388-93C5-72CF3198A5F5}"/>
            </c:ext>
          </c:extLst>
        </c:ser>
        <c:dLbls>
          <c:showLegendKey val="0"/>
          <c:showVal val="0"/>
          <c:showCatName val="0"/>
          <c:showSerName val="0"/>
          <c:showPercent val="0"/>
          <c:showBubbleSize val="0"/>
        </c:dLbls>
        <c:marker val="1"/>
        <c:smooth val="0"/>
        <c:axId val="202403016"/>
        <c:axId val="202403408"/>
      </c:lineChart>
      <c:catAx>
        <c:axId val="202403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3408"/>
        <c:crosses val="autoZero"/>
        <c:auto val="1"/>
        <c:lblAlgn val="ctr"/>
        <c:lblOffset val="100"/>
        <c:noMultiLvlLbl val="0"/>
      </c:catAx>
      <c:valAx>
        <c:axId val="20240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3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val>
            <c:numRef>
              <c:f>'Dedicated count 2014'!$I$10:$M$10</c:f>
              <c:numCache>
                <c:formatCode>General</c:formatCode>
                <c:ptCount val="5"/>
                <c:pt idx="0">
                  <c:v>46</c:v>
                </c:pt>
                <c:pt idx="1">
                  <c:v>44</c:v>
                </c:pt>
                <c:pt idx="2">
                  <c:v>31</c:v>
                </c:pt>
                <c:pt idx="3">
                  <c:v>15</c:v>
                </c:pt>
                <c:pt idx="4">
                  <c:v>7</c:v>
                </c:pt>
              </c:numCache>
            </c:numRef>
          </c:val>
          <c:extLst>
            <c:ext xmlns:c16="http://schemas.microsoft.com/office/drawing/2014/chart" uri="{C3380CC4-5D6E-409C-BE32-E72D297353CC}">
              <c16:uniqueId val="{00000000-F002-4DD0-AFAC-C832DAA34530}"/>
            </c:ext>
          </c:extLst>
        </c:ser>
        <c:dLbls>
          <c:showLegendKey val="0"/>
          <c:showVal val="0"/>
          <c:showCatName val="0"/>
          <c:showSerName val="0"/>
          <c:showPercent val="0"/>
          <c:showBubbleSize val="0"/>
        </c:dLbls>
        <c:gapWidth val="150"/>
        <c:axId val="138680192"/>
        <c:axId val="43532288"/>
      </c:barChart>
      <c:catAx>
        <c:axId val="138680192"/>
        <c:scaling>
          <c:orientation val="minMax"/>
        </c:scaling>
        <c:delete val="0"/>
        <c:axPos val="b"/>
        <c:majorTickMark val="out"/>
        <c:minorTickMark val="none"/>
        <c:tickLblPos val="nextTo"/>
        <c:crossAx val="43532288"/>
        <c:crosses val="autoZero"/>
        <c:auto val="1"/>
        <c:lblAlgn val="ctr"/>
        <c:lblOffset val="100"/>
        <c:noMultiLvlLbl val="0"/>
      </c:catAx>
      <c:valAx>
        <c:axId val="43532288"/>
        <c:scaling>
          <c:orientation val="minMax"/>
        </c:scaling>
        <c:delete val="0"/>
        <c:axPos val="l"/>
        <c:majorGridlines/>
        <c:numFmt formatCode="General" sourceLinked="1"/>
        <c:majorTickMark val="out"/>
        <c:minorTickMark val="none"/>
        <c:tickLblPos val="nextTo"/>
        <c:crossAx val="1386801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0.10148951579728031"/>
          <c:y val="2.9262902459274128E-3"/>
          <c:w val="0.84683040447758595"/>
          <c:h val="0.86952376153648847"/>
        </c:manualLayout>
      </c:layout>
      <c:barChart>
        <c:barDir val="bar"/>
        <c:grouping val="clustered"/>
        <c:varyColors val="0"/>
        <c:ser>
          <c:idx val="0"/>
          <c:order val="0"/>
          <c:invertIfNegative val="0"/>
          <c:cat>
            <c:numRef>
              <c:f>'Dedicated count 2014'!$P$13:$P$42</c:f>
              <c:numCache>
                <c:formatCode>General</c:formatCode>
                <c:ptCount val="30"/>
                <c:pt idx="0">
                  <c:v>2</c:v>
                </c:pt>
                <c:pt idx="1">
                  <c:v>4</c:v>
                </c:pt>
                <c:pt idx="2">
                  <c:v>6</c:v>
                </c:pt>
                <c:pt idx="3">
                  <c:v>8</c:v>
                </c:pt>
                <c:pt idx="4">
                  <c:v>10</c:v>
                </c:pt>
                <c:pt idx="5">
                  <c:v>12</c:v>
                </c:pt>
                <c:pt idx="6">
                  <c:v>14</c:v>
                </c:pt>
                <c:pt idx="7">
                  <c:v>16</c:v>
                </c:pt>
                <c:pt idx="8">
                  <c:v>18</c:v>
                </c:pt>
                <c:pt idx="9">
                  <c:v>20</c:v>
                </c:pt>
                <c:pt idx="10">
                  <c:v>22</c:v>
                </c:pt>
                <c:pt idx="11">
                  <c:v>24</c:v>
                </c:pt>
                <c:pt idx="12">
                  <c:v>26</c:v>
                </c:pt>
                <c:pt idx="13">
                  <c:v>28</c:v>
                </c:pt>
                <c:pt idx="14">
                  <c:v>30</c:v>
                </c:pt>
                <c:pt idx="15">
                  <c:v>32</c:v>
                </c:pt>
                <c:pt idx="16">
                  <c:v>34</c:v>
                </c:pt>
                <c:pt idx="17">
                  <c:v>36</c:v>
                </c:pt>
                <c:pt idx="18">
                  <c:v>38</c:v>
                </c:pt>
                <c:pt idx="19">
                  <c:v>40</c:v>
                </c:pt>
                <c:pt idx="20">
                  <c:v>42</c:v>
                </c:pt>
                <c:pt idx="21">
                  <c:v>44</c:v>
                </c:pt>
                <c:pt idx="22">
                  <c:v>46</c:v>
                </c:pt>
                <c:pt idx="23">
                  <c:v>48</c:v>
                </c:pt>
                <c:pt idx="24">
                  <c:v>50</c:v>
                </c:pt>
                <c:pt idx="25">
                  <c:v>52</c:v>
                </c:pt>
                <c:pt idx="26">
                  <c:v>54</c:v>
                </c:pt>
                <c:pt idx="27">
                  <c:v>56</c:v>
                </c:pt>
                <c:pt idx="28">
                  <c:v>58</c:v>
                </c:pt>
                <c:pt idx="29">
                  <c:v>60</c:v>
                </c:pt>
              </c:numCache>
            </c:numRef>
          </c:cat>
          <c:val>
            <c:numRef>
              <c:f>'Dedicated count 2014'!$Q$13:$Q$42</c:f>
              <c:numCache>
                <c:formatCode>General</c:formatCode>
                <c:ptCount val="30"/>
                <c:pt idx="0">
                  <c:v>7</c:v>
                </c:pt>
                <c:pt idx="1">
                  <c:v>7</c:v>
                </c:pt>
                <c:pt idx="2">
                  <c:v>8</c:v>
                </c:pt>
                <c:pt idx="3">
                  <c:v>15</c:v>
                </c:pt>
                <c:pt idx="4">
                  <c:v>16</c:v>
                </c:pt>
                <c:pt idx="5">
                  <c:v>22</c:v>
                </c:pt>
                <c:pt idx="6">
                  <c:v>22</c:v>
                </c:pt>
                <c:pt idx="13">
                  <c:v>4</c:v>
                </c:pt>
                <c:pt idx="14">
                  <c:v>7</c:v>
                </c:pt>
                <c:pt idx="15">
                  <c:v>12</c:v>
                </c:pt>
                <c:pt idx="16">
                  <c:v>11</c:v>
                </c:pt>
                <c:pt idx="17">
                  <c:v>12</c:v>
                </c:pt>
              </c:numCache>
            </c:numRef>
          </c:val>
          <c:extLst>
            <c:ext xmlns:c16="http://schemas.microsoft.com/office/drawing/2014/chart" uri="{C3380CC4-5D6E-409C-BE32-E72D297353CC}">
              <c16:uniqueId val="{00000000-E0BA-4D72-8E53-0063CB5CCB07}"/>
            </c:ext>
          </c:extLst>
        </c:ser>
        <c:dLbls>
          <c:showLegendKey val="0"/>
          <c:showVal val="0"/>
          <c:showCatName val="0"/>
          <c:showSerName val="0"/>
          <c:showPercent val="0"/>
          <c:showBubbleSize val="0"/>
        </c:dLbls>
        <c:gapWidth val="150"/>
        <c:axId val="43548032"/>
        <c:axId val="168461440"/>
      </c:barChart>
      <c:catAx>
        <c:axId val="43548032"/>
        <c:scaling>
          <c:orientation val="minMax"/>
        </c:scaling>
        <c:delete val="0"/>
        <c:axPos val="l"/>
        <c:title>
          <c:tx>
            <c:rich>
              <a:bodyPr rot="-5400000" vert="horz"/>
              <a:lstStyle/>
              <a:p>
                <a:pPr>
                  <a:defRPr/>
                </a:pPr>
                <a:r>
                  <a:rPr lang="en-US"/>
                  <a:t>Approximate age category of elephant based on size</a:t>
                </a:r>
              </a:p>
            </c:rich>
          </c:tx>
          <c:layout>
            <c:manualLayout>
              <c:xMode val="edge"/>
              <c:yMode val="edge"/>
              <c:x val="0"/>
              <c:y val="0.2157054074746807"/>
            </c:manualLayout>
          </c:layout>
          <c:overlay val="0"/>
        </c:title>
        <c:numFmt formatCode="General" sourceLinked="1"/>
        <c:majorTickMark val="out"/>
        <c:minorTickMark val="none"/>
        <c:tickLblPos val="nextTo"/>
        <c:crossAx val="168461440"/>
        <c:crosses val="autoZero"/>
        <c:auto val="1"/>
        <c:lblAlgn val="ctr"/>
        <c:lblOffset val="100"/>
        <c:noMultiLvlLbl val="0"/>
      </c:catAx>
      <c:valAx>
        <c:axId val="168461440"/>
        <c:scaling>
          <c:orientation val="minMax"/>
        </c:scaling>
        <c:delete val="0"/>
        <c:axPos val="b"/>
        <c:majorGridlines/>
        <c:title>
          <c:tx>
            <c:rich>
              <a:bodyPr/>
              <a:lstStyle/>
              <a:p>
                <a:pPr>
                  <a:defRPr/>
                </a:pPr>
                <a:r>
                  <a:rPr lang="en-ZA"/>
                  <a:t>Number</a:t>
                </a:r>
                <a:r>
                  <a:rPr lang="en-ZA" baseline="0"/>
                  <a:t> of elephant counted in age class</a:t>
                </a:r>
                <a:endParaRPr lang="en-ZA"/>
              </a:p>
            </c:rich>
          </c:tx>
          <c:overlay val="0"/>
        </c:title>
        <c:numFmt formatCode="General" sourceLinked="1"/>
        <c:majorTickMark val="out"/>
        <c:minorTickMark val="none"/>
        <c:tickLblPos val="nextTo"/>
        <c:crossAx val="43548032"/>
        <c:crosses val="autoZero"/>
        <c:crossBetween val="between"/>
      </c:valAx>
    </c:plotArea>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314325</xdr:colOff>
      <xdr:row>18</xdr:row>
      <xdr:rowOff>23812</xdr:rowOff>
    </xdr:from>
    <xdr:to>
      <xdr:col>27</xdr:col>
      <xdr:colOff>352425</xdr:colOff>
      <xdr:row>32</xdr:row>
      <xdr:rowOff>100012</xdr:rowOff>
    </xdr:to>
    <xdr:graphicFrame macro="">
      <xdr:nvGraphicFramePr>
        <xdr:cNvPr id="2" name="Chart 1">
          <a:extLst>
            <a:ext uri="{FF2B5EF4-FFF2-40B4-BE49-F238E27FC236}">
              <a16:creationId xmlns:a16="http://schemas.microsoft.com/office/drawing/2014/main" id="{54FF30AB-3846-4786-BC1C-F466CE708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495300</xdr:colOff>
      <xdr:row>12</xdr:row>
      <xdr:rowOff>185737</xdr:rowOff>
    </xdr:from>
    <xdr:to>
      <xdr:col>19</xdr:col>
      <xdr:colOff>190500</xdr:colOff>
      <xdr:row>27</xdr:row>
      <xdr:rowOff>71437</xdr:rowOff>
    </xdr:to>
    <xdr:graphicFrame macro="">
      <xdr:nvGraphicFramePr>
        <xdr:cNvPr id="3" name="Chart 2">
          <a:extLst>
            <a:ext uri="{FF2B5EF4-FFF2-40B4-BE49-F238E27FC236}">
              <a16:creationId xmlns:a16="http://schemas.microsoft.com/office/drawing/2014/main" id="{6BF0581F-A0D9-4257-BDBC-DEB8FFBDC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400050</xdr:colOff>
      <xdr:row>28</xdr:row>
      <xdr:rowOff>80962</xdr:rowOff>
    </xdr:from>
    <xdr:to>
      <xdr:col>20</xdr:col>
      <xdr:colOff>95250</xdr:colOff>
      <xdr:row>42</xdr:row>
      <xdr:rowOff>157162</xdr:rowOff>
    </xdr:to>
    <xdr:graphicFrame macro="">
      <xdr:nvGraphicFramePr>
        <xdr:cNvPr id="4" name="Chart 3">
          <a:extLst>
            <a:ext uri="{FF2B5EF4-FFF2-40B4-BE49-F238E27FC236}">
              <a16:creationId xmlns:a16="http://schemas.microsoft.com/office/drawing/2014/main" id="{B4A73B48-BF71-4B9C-A278-4827BF177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581025</xdr:colOff>
      <xdr:row>23</xdr:row>
      <xdr:rowOff>47625</xdr:rowOff>
    </xdr:from>
    <xdr:to>
      <xdr:col>8</xdr:col>
      <xdr:colOff>361950</xdr:colOff>
      <xdr:row>37</xdr:row>
      <xdr:rowOff>123825</xdr:rowOff>
    </xdr:to>
    <xdr:graphicFrame macro="">
      <xdr:nvGraphicFramePr>
        <xdr:cNvPr id="2" name="Chart 1">
          <a:extLst>
            <a:ext uri="{FF2B5EF4-FFF2-40B4-BE49-F238E27FC236}">
              <a16:creationId xmlns:a16="http://schemas.microsoft.com/office/drawing/2014/main" id="{EA8B9F6B-2C40-492B-B6EA-05693F34B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847726</xdr:colOff>
      <xdr:row>43</xdr:row>
      <xdr:rowOff>47625</xdr:rowOff>
    </xdr:from>
    <xdr:to>
      <xdr:col>17</xdr:col>
      <xdr:colOff>428626</xdr:colOff>
      <xdr:row>73</xdr:row>
      <xdr:rowOff>28574</xdr:rowOff>
    </xdr:to>
    <xdr:graphicFrame macro="">
      <xdr:nvGraphicFramePr>
        <xdr:cNvPr id="3" name="Chart 2">
          <a:extLst>
            <a:ext uri="{FF2B5EF4-FFF2-40B4-BE49-F238E27FC236}">
              <a16:creationId xmlns:a16="http://schemas.microsoft.com/office/drawing/2014/main" id="{15492757-4815-4644-8AAE-3175F95A5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znwildlife-my.sharepoint.com/personal/rickertw_kznwildlife_com/Documents/DEZ/Protected%20Areas/Ithala%20Game%20Reserve/Animals%20(E10-E16)/Monitoring/Ithala_Large%20Mammal_Populations_2000toPresent.xlsx" TargetMode="External"/><Relationship Id="rId1" Type="http://schemas.openxmlformats.org/officeDocument/2006/relationships/externalLinkPath" Target="/personal/rickertw_kznwildlife_com/Documents/DEZ/Protected%20Areas/Ithala%20Game%20Reserve/Animals%20(E10-E16)/Monitoring/Ithala_Large%20Mammal_Populations_2000toPresen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kznwildlife-my.sharepoint.com/personal/rickertw_kznwildlife_com/Documents/DEZ/Protected%20Areas/Ithala%20Game%20Reserve/Animals%20(E10-E16)/Animal%20Populations%20(E10.1)/Mammals/Elephant/Ele%20Count%2015March2014/Ele%20Count%2015%20March%202014.xlsx" TargetMode="External"/><Relationship Id="rId2" Type="http://schemas.microsoft.com/office/2019/04/relationships/externalLinkLongPath" Target="/personal/rickertw_kznwildlife_com/Documents/DEZ/Protected%20Areas/Ithala%20Game%20Reserve/Animals%20(E10-E16)/Animal%20Populations%20(E10.1)/Mammals/Elephant/Ele%20Count%2015March2014/Ele%20Count%2015%20March%202014.xlsx?052FA5B2" TargetMode="External"/><Relationship Id="rId1" Type="http://schemas.openxmlformats.org/officeDocument/2006/relationships/externalLinkPath" Target="file:///\\052FA5B2\Ele%20Count%2015%20March%20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thala 2000-2012"/>
      <sheetName val="Buffalo"/>
      <sheetName val="Eland"/>
      <sheetName val="Elephant"/>
      <sheetName val="Giraffe"/>
      <sheetName val="Hartebeest"/>
      <sheetName val="Impala"/>
      <sheetName val="Kudu"/>
      <sheetName val="Nyala"/>
      <sheetName val="Ostrich"/>
      <sheetName val="Tsessebe"/>
      <sheetName val="Warthog"/>
      <sheetName val="Waterbuck"/>
      <sheetName val="Wildebeest"/>
      <sheetName val="Zebra"/>
      <sheetName val="Other"/>
    </sheetNames>
    <sheetDataSet>
      <sheetData sheetId="0"/>
      <sheetData sheetId="1"/>
      <sheetData sheetId="2"/>
      <sheetData sheetId="3">
        <row r="1">
          <cell r="C1">
            <v>2001</v>
          </cell>
          <cell r="D1">
            <v>2002</v>
          </cell>
          <cell r="E1">
            <v>2003</v>
          </cell>
          <cell r="F1">
            <v>2004</v>
          </cell>
          <cell r="G1">
            <v>2005</v>
          </cell>
          <cell r="H1">
            <v>2006</v>
          </cell>
          <cell r="I1">
            <v>2007</v>
          </cell>
          <cell r="J1">
            <v>2008</v>
          </cell>
          <cell r="K1">
            <v>2009</v>
          </cell>
          <cell r="L1">
            <v>2010</v>
          </cell>
          <cell r="M1">
            <v>2011</v>
          </cell>
          <cell r="N1">
            <v>2012</v>
          </cell>
          <cell r="O1">
            <v>2013</v>
          </cell>
          <cell r="P1">
            <v>2014</v>
          </cell>
          <cell r="Q1">
            <v>2015</v>
          </cell>
          <cell r="R1">
            <v>2016</v>
          </cell>
          <cell r="S1">
            <v>2017</v>
          </cell>
          <cell r="T1">
            <v>2018</v>
          </cell>
          <cell r="U1">
            <v>2019</v>
          </cell>
          <cell r="V1">
            <v>2020</v>
          </cell>
          <cell r="W1">
            <v>2021</v>
          </cell>
          <cell r="X1">
            <v>2022</v>
          </cell>
          <cell r="Y1">
            <v>2023</v>
          </cell>
          <cell r="Z1">
            <v>2024</v>
          </cell>
        </row>
        <row r="2">
          <cell r="A2" t="str">
            <v>Elephant (Census)</v>
          </cell>
          <cell r="C2">
            <v>22</v>
          </cell>
          <cell r="D2">
            <v>93</v>
          </cell>
          <cell r="E2">
            <v>57</v>
          </cell>
          <cell r="F2">
            <v>79</v>
          </cell>
          <cell r="G2">
            <v>86</v>
          </cell>
          <cell r="H2">
            <v>69</v>
          </cell>
          <cell r="I2">
            <v>70</v>
          </cell>
          <cell r="J2">
            <v>91</v>
          </cell>
          <cell r="K2">
            <v>95</v>
          </cell>
          <cell r="M2">
            <v>110</v>
          </cell>
          <cell r="N2">
            <v>73</v>
          </cell>
          <cell r="O2">
            <v>181</v>
          </cell>
          <cell r="P2">
            <v>90</v>
          </cell>
          <cell r="Q2">
            <v>126</v>
          </cell>
          <cell r="R2">
            <v>145</v>
          </cell>
          <cell r="S2">
            <v>193</v>
          </cell>
          <cell r="T2">
            <v>154</v>
          </cell>
          <cell r="V2">
            <v>234</v>
          </cell>
          <cell r="W2">
            <v>186</v>
          </cell>
          <cell r="Z2">
            <v>153</v>
          </cell>
        </row>
        <row r="3">
          <cell r="A3" t="str">
            <v>Elephant (Adjusted)</v>
          </cell>
          <cell r="C3">
            <v>65</v>
          </cell>
          <cell r="D3">
            <v>70</v>
          </cell>
          <cell r="E3">
            <v>81</v>
          </cell>
          <cell r="K3">
            <v>110</v>
          </cell>
          <cell r="M3">
            <v>119</v>
          </cell>
          <cell r="N3">
            <v>156</v>
          </cell>
          <cell r="P3">
            <v>154</v>
          </cell>
          <cell r="Q3">
            <v>162</v>
          </cell>
          <cell r="R3">
            <v>172</v>
          </cell>
          <cell r="S3">
            <v>193</v>
          </cell>
          <cell r="T3">
            <v>182</v>
          </cell>
          <cell r="U3">
            <v>191</v>
          </cell>
          <cell r="V3">
            <v>234</v>
          </cell>
          <cell r="W3">
            <v>244</v>
          </cell>
          <cell r="X3">
            <v>251</v>
          </cell>
          <cell r="Y3">
            <v>265</v>
          </cell>
          <cell r="Z3">
            <v>280</v>
          </cell>
        </row>
        <row r="7">
          <cell r="C7">
            <v>2001</v>
          </cell>
          <cell r="D7">
            <v>2002</v>
          </cell>
          <cell r="E7">
            <v>2003</v>
          </cell>
          <cell r="F7">
            <v>2004</v>
          </cell>
          <cell r="G7">
            <v>2005</v>
          </cell>
          <cell r="H7">
            <v>2006</v>
          </cell>
          <cell r="I7">
            <v>2007</v>
          </cell>
          <cell r="J7">
            <v>2008</v>
          </cell>
          <cell r="K7">
            <v>2009</v>
          </cell>
          <cell r="L7">
            <v>2010</v>
          </cell>
          <cell r="M7">
            <v>2011</v>
          </cell>
          <cell r="N7">
            <v>2012</v>
          </cell>
          <cell r="O7">
            <v>2013</v>
          </cell>
          <cell r="P7">
            <v>2014</v>
          </cell>
          <cell r="Q7">
            <v>2015</v>
          </cell>
          <cell r="R7">
            <v>2016</v>
          </cell>
          <cell r="S7">
            <v>2017</v>
          </cell>
          <cell r="T7">
            <v>2018</v>
          </cell>
          <cell r="U7">
            <v>2019</v>
          </cell>
          <cell r="V7">
            <v>2020</v>
          </cell>
          <cell r="W7">
            <v>2021</v>
          </cell>
          <cell r="X7">
            <v>2022</v>
          </cell>
          <cell r="Y7">
            <v>2023</v>
          </cell>
        </row>
        <row r="8">
          <cell r="C8">
            <v>65</v>
          </cell>
          <cell r="D8">
            <v>70</v>
          </cell>
          <cell r="E8">
            <v>81</v>
          </cell>
          <cell r="F8">
            <v>79</v>
          </cell>
          <cell r="G8">
            <v>86</v>
          </cell>
          <cell r="H8">
            <v>69</v>
          </cell>
          <cell r="I8">
            <v>70</v>
          </cell>
          <cell r="J8">
            <v>91</v>
          </cell>
          <cell r="K8">
            <v>110</v>
          </cell>
          <cell r="M8">
            <v>119</v>
          </cell>
          <cell r="O8">
            <v>145</v>
          </cell>
          <cell r="P8">
            <v>154</v>
          </cell>
          <cell r="Q8">
            <v>162</v>
          </cell>
          <cell r="R8">
            <v>172</v>
          </cell>
          <cell r="S8">
            <v>193</v>
          </cell>
          <cell r="T8">
            <v>182</v>
          </cell>
          <cell r="U8">
            <v>191</v>
          </cell>
          <cell r="V8">
            <v>234</v>
          </cell>
          <cell r="W8">
            <v>244</v>
          </cell>
          <cell r="X8">
            <v>251</v>
          </cell>
          <cell r="Y8">
            <v>265</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Metadata"/>
      <sheetName val="Ele Count 15 March 2014"/>
      <sheetName val="Sheet3"/>
    </sheetNames>
    <sheetDataSet>
      <sheetData sheetId="0"/>
      <sheetData sheetId="1">
        <row r="10">
          <cell r="I10">
            <v>46</v>
          </cell>
          <cell r="J10">
            <v>44</v>
          </cell>
          <cell r="K10">
            <v>31</v>
          </cell>
          <cell r="L10">
            <v>15</v>
          </cell>
          <cell r="M10">
            <v>7</v>
          </cell>
        </row>
        <row r="13">
          <cell r="P13">
            <v>2</v>
          </cell>
          <cell r="Q13">
            <v>7</v>
          </cell>
        </row>
        <row r="14">
          <cell r="P14">
            <v>4</v>
          </cell>
          <cell r="Q14">
            <v>7</v>
          </cell>
        </row>
        <row r="15">
          <cell r="P15">
            <v>6</v>
          </cell>
          <cell r="Q15">
            <v>8</v>
          </cell>
        </row>
        <row r="16">
          <cell r="P16">
            <v>8</v>
          </cell>
          <cell r="Q16">
            <v>15</v>
          </cell>
        </row>
        <row r="17">
          <cell r="P17">
            <v>10</v>
          </cell>
          <cell r="Q17">
            <v>16</v>
          </cell>
        </row>
        <row r="18">
          <cell r="P18">
            <v>12</v>
          </cell>
          <cell r="Q18">
            <v>22</v>
          </cell>
        </row>
        <row r="19">
          <cell r="P19">
            <v>14</v>
          </cell>
          <cell r="Q19">
            <v>22</v>
          </cell>
        </row>
        <row r="20">
          <cell r="P20">
            <v>16</v>
          </cell>
        </row>
        <row r="21">
          <cell r="P21">
            <v>18</v>
          </cell>
        </row>
        <row r="22">
          <cell r="P22">
            <v>20</v>
          </cell>
        </row>
        <row r="23">
          <cell r="P23">
            <v>22</v>
          </cell>
        </row>
        <row r="24">
          <cell r="P24">
            <v>24</v>
          </cell>
        </row>
        <row r="25">
          <cell r="P25">
            <v>26</v>
          </cell>
        </row>
        <row r="26">
          <cell r="P26">
            <v>28</v>
          </cell>
          <cell r="Q26">
            <v>4</v>
          </cell>
        </row>
        <row r="27">
          <cell r="P27">
            <v>30</v>
          </cell>
          <cell r="Q27">
            <v>7</v>
          </cell>
        </row>
        <row r="28">
          <cell r="P28">
            <v>32</v>
          </cell>
          <cell r="Q28">
            <v>12</v>
          </cell>
        </row>
        <row r="29">
          <cell r="P29">
            <v>34</v>
          </cell>
          <cell r="Q29">
            <v>11</v>
          </cell>
        </row>
        <row r="30">
          <cell r="P30">
            <v>36</v>
          </cell>
          <cell r="Q30">
            <v>12</v>
          </cell>
        </row>
        <row r="31">
          <cell r="P31">
            <v>38</v>
          </cell>
        </row>
        <row r="32">
          <cell r="P32">
            <v>40</v>
          </cell>
        </row>
        <row r="33">
          <cell r="P33">
            <v>42</v>
          </cell>
        </row>
        <row r="34">
          <cell r="P34">
            <v>44</v>
          </cell>
        </row>
        <row r="35">
          <cell r="P35">
            <v>46</v>
          </cell>
        </row>
        <row r="36">
          <cell r="P36">
            <v>48</v>
          </cell>
        </row>
        <row r="37">
          <cell r="P37">
            <v>50</v>
          </cell>
        </row>
        <row r="38">
          <cell r="P38">
            <v>52</v>
          </cell>
        </row>
        <row r="39">
          <cell r="P39">
            <v>54</v>
          </cell>
        </row>
        <row r="40">
          <cell r="P40">
            <v>56</v>
          </cell>
        </row>
        <row r="41">
          <cell r="P41">
            <v>58</v>
          </cell>
        </row>
        <row r="42">
          <cell r="P42">
            <v>60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27B20-6271-4EC8-9BCB-832B4C1440CB}">
  <dimension ref="A1:A3"/>
  <sheetViews>
    <sheetView workbookViewId="0"/>
  </sheetViews>
  <sheetFormatPr defaultRowHeight="15" x14ac:dyDescent="0.25"/>
  <cols>
    <col min="1" max="1" width="255.5703125" customWidth="1"/>
  </cols>
  <sheetData>
    <row r="1" spans="1:1" ht="63.75" x14ac:dyDescent="0.25">
      <c r="A1" s="13" t="s">
        <v>6</v>
      </c>
    </row>
    <row r="2" spans="1:1" x14ac:dyDescent="0.25">
      <c r="A2" s="13"/>
    </row>
    <row r="3" spans="1:1" x14ac:dyDescent="0.25">
      <c r="A3"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33CA-3441-46B0-8DED-C33043453987}">
  <dimension ref="A1:AE16"/>
  <sheetViews>
    <sheetView tabSelected="1" zoomScale="85" zoomScaleNormal="85" workbookViewId="0">
      <selection activeCell="F14" sqref="F14"/>
    </sheetView>
  </sheetViews>
  <sheetFormatPr defaultRowHeight="15" x14ac:dyDescent="0.25"/>
  <cols>
    <col min="1" max="1" width="28.7109375" bestFit="1" customWidth="1"/>
    <col min="23" max="23" width="13.140625" bestFit="1" customWidth="1"/>
  </cols>
  <sheetData>
    <row r="1" spans="1:31" x14ac:dyDescent="0.25">
      <c r="A1" s="1" t="s">
        <v>0</v>
      </c>
      <c r="B1" s="2">
        <v>2000</v>
      </c>
      <c r="C1" s="2">
        <v>2001</v>
      </c>
      <c r="D1" s="2">
        <v>2002</v>
      </c>
      <c r="E1" s="2">
        <v>2003</v>
      </c>
      <c r="F1" s="2">
        <v>2004</v>
      </c>
      <c r="G1" s="2">
        <v>2005</v>
      </c>
      <c r="H1" s="2">
        <v>2006</v>
      </c>
      <c r="I1" s="2">
        <v>2007</v>
      </c>
      <c r="J1" s="2">
        <v>2008</v>
      </c>
      <c r="K1" s="2">
        <v>2009</v>
      </c>
      <c r="L1" s="2">
        <v>2010</v>
      </c>
      <c r="M1" s="2">
        <v>2011</v>
      </c>
      <c r="N1" s="2">
        <v>2012</v>
      </c>
      <c r="O1" s="2">
        <v>2013</v>
      </c>
      <c r="P1" s="2">
        <v>2014</v>
      </c>
      <c r="Q1" s="2">
        <v>2015</v>
      </c>
      <c r="R1" s="2">
        <v>2016</v>
      </c>
      <c r="S1" s="2">
        <v>2017</v>
      </c>
      <c r="T1" s="2">
        <v>2018</v>
      </c>
      <c r="U1" s="2">
        <v>2019</v>
      </c>
      <c r="V1" s="2">
        <v>2020</v>
      </c>
      <c r="W1" s="2">
        <v>2021</v>
      </c>
      <c r="X1" s="2">
        <v>2022</v>
      </c>
      <c r="Y1" s="2">
        <v>2023</v>
      </c>
      <c r="Z1" s="2">
        <v>2024</v>
      </c>
      <c r="AA1" s="3"/>
      <c r="AB1" s="3"/>
      <c r="AC1" s="3"/>
      <c r="AD1" s="3"/>
      <c r="AE1" s="3"/>
    </row>
    <row r="2" spans="1:31" s="4" customFormat="1" x14ac:dyDescent="0.25">
      <c r="A2" s="2" t="s">
        <v>1</v>
      </c>
      <c r="C2" s="4">
        <v>22</v>
      </c>
      <c r="D2" s="5">
        <v>93</v>
      </c>
      <c r="E2" s="5">
        <v>57</v>
      </c>
      <c r="F2" s="5">
        <v>79</v>
      </c>
      <c r="G2" s="5">
        <v>86</v>
      </c>
      <c r="H2" s="5">
        <v>69</v>
      </c>
      <c r="I2" s="5">
        <v>70</v>
      </c>
      <c r="J2" s="5">
        <v>91</v>
      </c>
      <c r="K2" s="5">
        <v>95</v>
      </c>
      <c r="M2" s="5">
        <v>110</v>
      </c>
      <c r="N2" s="5">
        <v>73</v>
      </c>
      <c r="O2" s="5">
        <v>181</v>
      </c>
      <c r="P2" s="5">
        <v>90</v>
      </c>
      <c r="Q2" s="4">
        <v>126</v>
      </c>
      <c r="R2" s="4">
        <v>145</v>
      </c>
      <c r="S2" s="5">
        <v>193</v>
      </c>
      <c r="T2" s="4">
        <v>154</v>
      </c>
      <c r="V2" s="5">
        <v>234</v>
      </c>
      <c r="W2" s="5">
        <v>186</v>
      </c>
      <c r="Z2" s="4">
        <v>153</v>
      </c>
      <c r="AC2" s="5"/>
    </row>
    <row r="3" spans="1:31" s="4" customFormat="1" x14ac:dyDescent="0.25">
      <c r="A3" s="2" t="s">
        <v>83</v>
      </c>
      <c r="C3" s="4">
        <v>65</v>
      </c>
      <c r="D3" s="5">
        <v>70</v>
      </c>
      <c r="E3" s="5">
        <v>81</v>
      </c>
      <c r="F3" s="5"/>
      <c r="G3" s="5"/>
      <c r="H3" s="5"/>
      <c r="I3" s="5"/>
      <c r="J3" s="5"/>
      <c r="K3" s="5">
        <v>110</v>
      </c>
      <c r="L3" s="5"/>
      <c r="M3" s="5">
        <v>119</v>
      </c>
      <c r="N3" s="5">
        <v>156</v>
      </c>
      <c r="O3" s="5"/>
      <c r="P3" s="5">
        <v>154</v>
      </c>
      <c r="Q3" s="4">
        <v>162</v>
      </c>
      <c r="R3" s="5">
        <v>172</v>
      </c>
      <c r="S3" s="5">
        <v>193</v>
      </c>
      <c r="T3" s="5">
        <v>182</v>
      </c>
      <c r="U3" s="5">
        <v>191</v>
      </c>
      <c r="V3" s="5">
        <v>234</v>
      </c>
      <c r="W3" s="5">
        <v>244</v>
      </c>
      <c r="X3" s="5">
        <v>251</v>
      </c>
      <c r="Y3" s="5">
        <v>265</v>
      </c>
      <c r="Z3" s="5">
        <v>280</v>
      </c>
      <c r="AA3" s="5"/>
      <c r="AB3" s="5"/>
      <c r="AC3" s="5"/>
      <c r="AD3" s="5"/>
      <c r="AE3" s="5"/>
    </row>
    <row r="4" spans="1:31" x14ac:dyDescent="0.25">
      <c r="P4" t="s">
        <v>2</v>
      </c>
    </row>
    <row r="7" spans="1:31" x14ac:dyDescent="0.25">
      <c r="B7" s="6">
        <v>2000</v>
      </c>
      <c r="C7" s="6">
        <v>2001</v>
      </c>
      <c r="D7" s="6">
        <v>2002</v>
      </c>
      <c r="E7" s="6">
        <v>2003</v>
      </c>
      <c r="F7" s="6">
        <v>2004</v>
      </c>
      <c r="G7" s="6">
        <v>2005</v>
      </c>
      <c r="H7" s="6">
        <v>2006</v>
      </c>
      <c r="I7" s="6">
        <v>2007</v>
      </c>
      <c r="J7" s="6">
        <v>2008</v>
      </c>
      <c r="K7" s="6">
        <v>2009</v>
      </c>
      <c r="L7" s="6">
        <v>2010</v>
      </c>
      <c r="M7" s="6">
        <v>2011</v>
      </c>
      <c r="N7" s="6">
        <v>2012</v>
      </c>
      <c r="O7" s="6">
        <v>2013</v>
      </c>
      <c r="P7" s="6">
        <v>2014</v>
      </c>
      <c r="Q7" s="6">
        <v>2015</v>
      </c>
      <c r="R7" s="6">
        <v>2016</v>
      </c>
      <c r="S7" s="6">
        <v>2017</v>
      </c>
      <c r="T7" s="6">
        <v>2018</v>
      </c>
      <c r="U7" s="6">
        <v>2019</v>
      </c>
      <c r="V7" s="7">
        <v>2020</v>
      </c>
      <c r="W7" s="6">
        <v>2021</v>
      </c>
      <c r="X7" s="7">
        <v>2022</v>
      </c>
      <c r="Y7" s="7">
        <v>2023</v>
      </c>
      <c r="Z7" s="6">
        <v>2024</v>
      </c>
    </row>
    <row r="8" spans="1:31" x14ac:dyDescent="0.25">
      <c r="B8" s="8"/>
      <c r="C8" s="9">
        <v>65</v>
      </c>
      <c r="D8" s="10">
        <v>70</v>
      </c>
      <c r="E8" s="10">
        <v>81</v>
      </c>
      <c r="F8" s="10">
        <v>79</v>
      </c>
      <c r="G8" s="10">
        <v>86</v>
      </c>
      <c r="H8" s="10">
        <v>69</v>
      </c>
      <c r="I8" s="10">
        <v>70</v>
      </c>
      <c r="J8" s="10">
        <v>91</v>
      </c>
      <c r="K8" s="10">
        <v>110</v>
      </c>
      <c r="L8" s="9"/>
      <c r="M8" s="10">
        <v>119</v>
      </c>
      <c r="N8" s="10"/>
      <c r="O8" s="10">
        <v>145</v>
      </c>
      <c r="P8" s="10">
        <v>154</v>
      </c>
      <c r="Q8" s="9">
        <v>162</v>
      </c>
      <c r="R8" s="9">
        <v>172</v>
      </c>
      <c r="S8" s="10">
        <v>193</v>
      </c>
      <c r="T8" s="9">
        <v>182</v>
      </c>
      <c r="U8" s="11">
        <v>191</v>
      </c>
      <c r="V8" s="11">
        <v>234</v>
      </c>
      <c r="W8" s="11">
        <v>244</v>
      </c>
      <c r="X8" s="11">
        <v>251</v>
      </c>
      <c r="Y8" s="11">
        <v>265</v>
      </c>
    </row>
    <row r="9" spans="1:31" x14ac:dyDescent="0.25">
      <c r="I9" s="5"/>
      <c r="J9" s="5"/>
      <c r="K9" s="5"/>
      <c r="L9" s="5"/>
      <c r="M9" s="5"/>
      <c r="N9" s="5"/>
      <c r="O9" s="5"/>
      <c r="P9" s="5"/>
      <c r="Q9" s="4"/>
      <c r="R9" s="5"/>
      <c r="S9" s="5"/>
      <c r="T9" s="5"/>
    </row>
    <row r="10" spans="1:31" x14ac:dyDescent="0.25">
      <c r="I10">
        <f>(J8-I8)/I8*100</f>
        <v>30</v>
      </c>
      <c r="J10">
        <f>(K8-J8)/J8*100</f>
        <v>20.87912087912088</v>
      </c>
      <c r="K10">
        <f>(M8-K8)/K8*100</f>
        <v>8.1818181818181817</v>
      </c>
      <c r="M10">
        <f>(O8-M8)/M8*100</f>
        <v>21.84873949579832</v>
      </c>
      <c r="O10">
        <f t="shared" ref="O10:U10" si="0">(P8-O8)/O8*100</f>
        <v>6.2068965517241379</v>
      </c>
      <c r="P10">
        <f t="shared" si="0"/>
        <v>5.1948051948051948</v>
      </c>
      <c r="Q10">
        <f t="shared" si="0"/>
        <v>6.1728395061728394</v>
      </c>
      <c r="R10">
        <f t="shared" si="0"/>
        <v>12.209302325581394</v>
      </c>
      <c r="S10">
        <f t="shared" si="0"/>
        <v>-5.6994818652849739</v>
      </c>
      <c r="T10">
        <f t="shared" si="0"/>
        <v>4.9450549450549453</v>
      </c>
      <c r="U10">
        <f t="shared" si="0"/>
        <v>22.513089005235599</v>
      </c>
    </row>
    <row r="12" spans="1:31" x14ac:dyDescent="0.25">
      <c r="V12" s="12"/>
      <c r="W12" t="s">
        <v>3</v>
      </c>
      <c r="X12" s="12" t="s">
        <v>4</v>
      </c>
      <c r="Y12" s="12" t="s">
        <v>5</v>
      </c>
    </row>
    <row r="13" spans="1:31" x14ac:dyDescent="0.25">
      <c r="V13" s="12">
        <v>2013</v>
      </c>
      <c r="X13" s="12">
        <v>144</v>
      </c>
      <c r="Y13" s="12">
        <v>144</v>
      </c>
    </row>
    <row r="14" spans="1:31" x14ac:dyDescent="0.25">
      <c r="V14">
        <v>2014</v>
      </c>
      <c r="W14">
        <v>154</v>
      </c>
      <c r="X14">
        <v>155</v>
      </c>
      <c r="Y14">
        <v>153</v>
      </c>
    </row>
    <row r="15" spans="1:31" x14ac:dyDescent="0.25">
      <c r="V15">
        <v>2015</v>
      </c>
      <c r="W15">
        <v>162</v>
      </c>
      <c r="X15">
        <v>167</v>
      </c>
      <c r="Y15">
        <v>162</v>
      </c>
    </row>
    <row r="16" spans="1:31" x14ac:dyDescent="0.25">
      <c r="V16">
        <v>2016</v>
      </c>
      <c r="W16">
        <v>172</v>
      </c>
      <c r="X16">
        <v>180</v>
      </c>
      <c r="Y16">
        <v>172</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53EF-6FA9-4987-B813-184D0CD8DA16}">
  <dimension ref="A1:BX42"/>
  <sheetViews>
    <sheetView topLeftCell="C30" zoomScale="80" zoomScaleNormal="80" workbookViewId="0">
      <selection activeCell="Z7" sqref="Z7"/>
    </sheetView>
  </sheetViews>
  <sheetFormatPr defaultRowHeight="15" x14ac:dyDescent="0.25"/>
  <cols>
    <col min="2" max="2" width="22.28515625" customWidth="1"/>
    <col min="3" max="3" width="19.85546875" customWidth="1"/>
    <col min="4" max="4" width="15.28515625" customWidth="1"/>
    <col min="5" max="5" width="12.28515625" customWidth="1"/>
    <col min="6" max="7" width="8.140625" customWidth="1"/>
    <col min="8" max="8" width="13.28515625" customWidth="1"/>
    <col min="9" max="12" width="8.140625" customWidth="1"/>
  </cols>
  <sheetData>
    <row r="1" spans="1:76" x14ac:dyDescent="0.25">
      <c r="A1" s="19" t="s">
        <v>48</v>
      </c>
      <c r="B1" s="19"/>
      <c r="C1" s="19" t="s">
        <v>49</v>
      </c>
      <c r="D1" s="19" t="s">
        <v>50</v>
      </c>
      <c r="E1" s="19" t="s">
        <v>51</v>
      </c>
      <c r="F1" s="20" t="s">
        <v>52</v>
      </c>
      <c r="G1" s="20" t="s">
        <v>53</v>
      </c>
      <c r="H1" s="20" t="s">
        <v>54</v>
      </c>
      <c r="I1" s="20"/>
      <c r="J1" s="21" t="s">
        <v>55</v>
      </c>
      <c r="K1" s="22" t="s">
        <v>56</v>
      </c>
      <c r="L1" s="23" t="s">
        <v>57</v>
      </c>
      <c r="M1" s="24" t="s">
        <v>58</v>
      </c>
      <c r="N1" s="25" t="s">
        <v>59</v>
      </c>
    </row>
    <row r="2" spans="1:76" s="8" customFormat="1" ht="15.75" thickBot="1" x14ac:dyDescent="0.3">
      <c r="A2" s="26">
        <v>1</v>
      </c>
      <c r="B2" s="26"/>
      <c r="C2" s="26" t="s">
        <v>60</v>
      </c>
      <c r="D2" s="26">
        <v>3</v>
      </c>
      <c r="E2" s="26">
        <v>14</v>
      </c>
      <c r="F2" s="27">
        <v>1</v>
      </c>
      <c r="G2" s="27">
        <v>2</v>
      </c>
      <c r="H2" s="27">
        <v>0</v>
      </c>
      <c r="I2" s="27">
        <v>0</v>
      </c>
      <c r="J2" s="28">
        <v>4</v>
      </c>
      <c r="K2" s="29">
        <v>3</v>
      </c>
      <c r="L2" s="9">
        <v>3</v>
      </c>
      <c r="M2" s="30">
        <v>1</v>
      </c>
      <c r="N2" s="31">
        <v>0</v>
      </c>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row>
    <row r="3" spans="1:76" ht="15.75" thickBot="1" x14ac:dyDescent="0.3">
      <c r="A3" s="26">
        <v>2</v>
      </c>
      <c r="B3" s="26"/>
      <c r="C3" s="26" t="s">
        <v>61</v>
      </c>
      <c r="D3" s="26">
        <v>1</v>
      </c>
      <c r="E3" s="26">
        <v>9</v>
      </c>
      <c r="F3" s="27">
        <v>0</v>
      </c>
      <c r="G3" s="27">
        <v>4</v>
      </c>
      <c r="H3" s="27">
        <v>0</v>
      </c>
      <c r="I3" s="27">
        <v>0</v>
      </c>
      <c r="J3" s="28">
        <v>1</v>
      </c>
      <c r="K3" s="29">
        <v>3</v>
      </c>
      <c r="L3" s="9">
        <v>1</v>
      </c>
      <c r="M3" s="30">
        <v>0</v>
      </c>
      <c r="N3" s="31">
        <v>0</v>
      </c>
      <c r="R3" s="32">
        <v>46</v>
      </c>
      <c r="S3" s="33">
        <v>15</v>
      </c>
      <c r="V3" s="14" t="s">
        <v>81</v>
      </c>
    </row>
    <row r="4" spans="1:76" ht="15.75" thickBot="1" x14ac:dyDescent="0.3">
      <c r="A4">
        <v>3</v>
      </c>
      <c r="C4" t="s">
        <v>62</v>
      </c>
      <c r="D4">
        <v>2</v>
      </c>
      <c r="E4">
        <v>55</v>
      </c>
      <c r="F4" s="27">
        <v>2</v>
      </c>
      <c r="G4" s="27"/>
      <c r="H4" s="27">
        <v>15</v>
      </c>
      <c r="I4" s="27">
        <v>0</v>
      </c>
      <c r="J4" s="28">
        <v>18</v>
      </c>
      <c r="K4" s="29">
        <v>13</v>
      </c>
      <c r="L4" s="9">
        <v>5</v>
      </c>
      <c r="M4" s="30">
        <v>2</v>
      </c>
      <c r="N4" s="31">
        <v>0</v>
      </c>
      <c r="R4" s="32">
        <v>44</v>
      </c>
      <c r="S4" s="34">
        <v>5</v>
      </c>
      <c r="V4" t="s">
        <v>82</v>
      </c>
    </row>
    <row r="5" spans="1:76" ht="15.75" thickBot="1" x14ac:dyDescent="0.3">
      <c r="A5" s="35">
        <v>4</v>
      </c>
      <c r="B5" s="35" t="s">
        <v>63</v>
      </c>
      <c r="C5" s="35" t="s">
        <v>64</v>
      </c>
      <c r="D5" s="35"/>
      <c r="E5" s="35">
        <v>35</v>
      </c>
      <c r="F5" s="27"/>
      <c r="G5" s="27"/>
      <c r="H5" s="27">
        <v>9</v>
      </c>
      <c r="I5" s="27"/>
      <c r="J5" s="28">
        <v>9</v>
      </c>
      <c r="K5" s="29">
        <v>7</v>
      </c>
      <c r="L5" s="9">
        <v>5</v>
      </c>
      <c r="M5" s="30">
        <v>3</v>
      </c>
      <c r="N5" s="31"/>
      <c r="R5" s="32">
        <v>31</v>
      </c>
      <c r="S5" s="36">
        <v>4</v>
      </c>
    </row>
    <row r="6" spans="1:76" s="37" customFormat="1" ht="15.75" thickBot="1" x14ac:dyDescent="0.3">
      <c r="A6" s="26">
        <v>5</v>
      </c>
      <c r="B6" s="26" t="s">
        <v>65</v>
      </c>
      <c r="C6" s="26">
        <v>0.39200000000000002</v>
      </c>
      <c r="D6" s="26">
        <v>1</v>
      </c>
      <c r="E6" s="26">
        <v>2</v>
      </c>
      <c r="F6" s="27">
        <v>2</v>
      </c>
      <c r="G6" s="27">
        <v>0</v>
      </c>
      <c r="H6" s="27">
        <v>0</v>
      </c>
      <c r="I6" s="27">
        <v>0</v>
      </c>
      <c r="J6" s="28">
        <v>0</v>
      </c>
      <c r="K6" s="29">
        <v>0</v>
      </c>
      <c r="L6" s="9">
        <v>0</v>
      </c>
      <c r="M6" s="30">
        <v>0</v>
      </c>
      <c r="N6" s="31">
        <v>0</v>
      </c>
      <c r="O6"/>
      <c r="P6"/>
      <c r="Q6"/>
      <c r="R6" s="32">
        <v>15</v>
      </c>
      <c r="S6" s="11">
        <v>3</v>
      </c>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row>
    <row r="7" spans="1:76" ht="15.75" thickBot="1" x14ac:dyDescent="0.3">
      <c r="A7">
        <v>6</v>
      </c>
      <c r="B7" t="s">
        <v>66</v>
      </c>
      <c r="D7">
        <v>0</v>
      </c>
      <c r="E7">
        <v>14</v>
      </c>
      <c r="F7" s="27"/>
      <c r="G7" s="27"/>
      <c r="H7" s="27">
        <v>5</v>
      </c>
      <c r="I7" s="27"/>
      <c r="J7" s="28">
        <v>7</v>
      </c>
      <c r="K7" s="29">
        <v>2</v>
      </c>
      <c r="L7" s="9"/>
      <c r="M7" s="30"/>
      <c r="N7" s="31"/>
      <c r="R7" s="32">
        <v>7</v>
      </c>
      <c r="S7" s="38">
        <v>2</v>
      </c>
    </row>
    <row r="8" spans="1:76" s="37" customFormat="1" ht="15.75" thickBot="1" x14ac:dyDescent="0.3">
      <c r="A8" s="26">
        <v>7</v>
      </c>
      <c r="B8" s="26" t="s">
        <v>67</v>
      </c>
      <c r="C8" s="26" t="s">
        <v>68</v>
      </c>
      <c r="D8" s="26">
        <v>0</v>
      </c>
      <c r="E8" s="26">
        <v>2</v>
      </c>
      <c r="F8" s="27">
        <v>2</v>
      </c>
      <c r="G8" s="27">
        <v>0</v>
      </c>
      <c r="H8" s="27">
        <v>0</v>
      </c>
      <c r="I8" s="27">
        <v>0</v>
      </c>
      <c r="J8" s="28">
        <v>0</v>
      </c>
      <c r="K8" s="29">
        <v>0</v>
      </c>
      <c r="L8" s="9">
        <v>0</v>
      </c>
      <c r="M8" s="30">
        <v>0</v>
      </c>
      <c r="N8" s="31">
        <v>0</v>
      </c>
      <c r="O8"/>
      <c r="P8"/>
      <c r="Q8"/>
      <c r="R8" s="39"/>
      <c r="S8" s="40"/>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row>
    <row r="9" spans="1:76" ht="15.75" thickBot="1" x14ac:dyDescent="0.3">
      <c r="A9" s="26">
        <v>8</v>
      </c>
      <c r="B9" s="26" t="s">
        <v>69</v>
      </c>
      <c r="C9" s="26"/>
      <c r="D9" s="26">
        <v>0</v>
      </c>
      <c r="E9" s="26">
        <v>14</v>
      </c>
      <c r="F9" s="41">
        <v>0</v>
      </c>
      <c r="G9" s="41">
        <v>0</v>
      </c>
      <c r="H9" s="41">
        <v>4</v>
      </c>
      <c r="I9" s="41">
        <v>0</v>
      </c>
      <c r="J9" s="42">
        <v>5</v>
      </c>
      <c r="K9" s="43">
        <v>3</v>
      </c>
      <c r="L9" s="44">
        <v>1</v>
      </c>
      <c r="M9" s="45">
        <v>1</v>
      </c>
      <c r="N9" s="46">
        <v>0</v>
      </c>
    </row>
    <row r="10" spans="1:76" ht="15.75" thickBot="1" x14ac:dyDescent="0.3">
      <c r="A10" s="47" t="s">
        <v>70</v>
      </c>
      <c r="B10" s="48"/>
      <c r="C10" s="48"/>
      <c r="D10" s="48"/>
      <c r="E10" s="48">
        <f t="shared" ref="E10:H10" si="0">SUM(E2:E9)</f>
        <v>145</v>
      </c>
      <c r="F10" s="32">
        <f t="shared" si="0"/>
        <v>7</v>
      </c>
      <c r="G10" s="32">
        <f t="shared" si="0"/>
        <v>6</v>
      </c>
      <c r="H10" s="32">
        <f t="shared" si="0"/>
        <v>33</v>
      </c>
      <c r="I10" s="32">
        <f>SUM(F10:H10)</f>
        <v>46</v>
      </c>
      <c r="J10" s="32">
        <f t="shared" ref="J10:M10" si="1">SUM(J2:J9)</f>
        <v>44</v>
      </c>
      <c r="K10" s="32">
        <f t="shared" si="1"/>
        <v>31</v>
      </c>
      <c r="L10" s="32">
        <f t="shared" si="1"/>
        <v>15</v>
      </c>
      <c r="M10" s="32">
        <f t="shared" si="1"/>
        <v>7</v>
      </c>
      <c r="N10" s="39"/>
    </row>
    <row r="11" spans="1:76" x14ac:dyDescent="0.25">
      <c r="E11" t="s">
        <v>71</v>
      </c>
      <c r="H11" s="33"/>
      <c r="I11" s="33">
        <v>15</v>
      </c>
      <c r="J11" s="34">
        <v>5</v>
      </c>
      <c r="K11" s="36">
        <v>4</v>
      </c>
      <c r="L11" s="11">
        <v>3</v>
      </c>
      <c r="M11" s="38">
        <v>2</v>
      </c>
      <c r="N11" s="40">
        <v>1</v>
      </c>
    </row>
    <row r="12" spans="1:76" x14ac:dyDescent="0.25">
      <c r="B12" s="19" t="s">
        <v>72</v>
      </c>
    </row>
    <row r="13" spans="1:76" x14ac:dyDescent="0.25">
      <c r="B13" t="s">
        <v>73</v>
      </c>
      <c r="P13">
        <v>2</v>
      </c>
      <c r="Q13">
        <v>7</v>
      </c>
    </row>
    <row r="14" spans="1:76" x14ac:dyDescent="0.25">
      <c r="B14" t="s">
        <v>74</v>
      </c>
      <c r="P14">
        <v>4</v>
      </c>
      <c r="Q14">
        <v>7</v>
      </c>
    </row>
    <row r="15" spans="1:76" x14ac:dyDescent="0.25">
      <c r="B15" t="s">
        <v>75</v>
      </c>
      <c r="P15">
        <v>6</v>
      </c>
      <c r="Q15">
        <v>8</v>
      </c>
    </row>
    <row r="16" spans="1:76" x14ac:dyDescent="0.25">
      <c r="B16" t="s">
        <v>76</v>
      </c>
      <c r="P16">
        <v>8</v>
      </c>
      <c r="Q16">
        <v>15</v>
      </c>
    </row>
    <row r="17" spans="2:17" x14ac:dyDescent="0.25">
      <c r="B17" t="s">
        <v>77</v>
      </c>
      <c r="P17">
        <v>10</v>
      </c>
      <c r="Q17">
        <v>16</v>
      </c>
    </row>
    <row r="18" spans="2:17" x14ac:dyDescent="0.25">
      <c r="B18" t="s">
        <v>78</v>
      </c>
      <c r="P18">
        <v>12</v>
      </c>
      <c r="Q18">
        <v>22</v>
      </c>
    </row>
    <row r="19" spans="2:17" x14ac:dyDescent="0.25">
      <c r="B19" t="s">
        <v>79</v>
      </c>
      <c r="P19">
        <v>14</v>
      </c>
      <c r="Q19">
        <v>22</v>
      </c>
    </row>
    <row r="20" spans="2:17" x14ac:dyDescent="0.25">
      <c r="B20" t="s">
        <v>67</v>
      </c>
      <c r="P20">
        <v>16</v>
      </c>
    </row>
    <row r="21" spans="2:17" x14ac:dyDescent="0.25">
      <c r="B21" t="s">
        <v>80</v>
      </c>
      <c r="P21">
        <v>18</v>
      </c>
    </row>
    <row r="22" spans="2:17" x14ac:dyDescent="0.25">
      <c r="P22">
        <v>20</v>
      </c>
    </row>
    <row r="23" spans="2:17" x14ac:dyDescent="0.25">
      <c r="P23">
        <v>22</v>
      </c>
    </row>
    <row r="24" spans="2:17" x14ac:dyDescent="0.25">
      <c r="P24">
        <v>24</v>
      </c>
    </row>
    <row r="25" spans="2:17" x14ac:dyDescent="0.25">
      <c r="P25">
        <v>26</v>
      </c>
    </row>
    <row r="26" spans="2:17" x14ac:dyDescent="0.25">
      <c r="P26">
        <v>28</v>
      </c>
      <c r="Q26">
        <v>4</v>
      </c>
    </row>
    <row r="27" spans="2:17" x14ac:dyDescent="0.25">
      <c r="P27">
        <v>30</v>
      </c>
      <c r="Q27">
        <v>7</v>
      </c>
    </row>
    <row r="28" spans="2:17" x14ac:dyDescent="0.25">
      <c r="P28">
        <v>32</v>
      </c>
      <c r="Q28">
        <v>12</v>
      </c>
    </row>
    <row r="29" spans="2:17" x14ac:dyDescent="0.25">
      <c r="P29">
        <v>34</v>
      </c>
      <c r="Q29">
        <v>11</v>
      </c>
    </row>
    <row r="30" spans="2:17" x14ac:dyDescent="0.25">
      <c r="P30">
        <v>36</v>
      </c>
      <c r="Q30">
        <v>12</v>
      </c>
    </row>
    <row r="31" spans="2:17" x14ac:dyDescent="0.25">
      <c r="P31">
        <v>38</v>
      </c>
    </row>
    <row r="32" spans="2:17" x14ac:dyDescent="0.25">
      <c r="P32">
        <v>40</v>
      </c>
    </row>
    <row r="33" spans="16:16" x14ac:dyDescent="0.25">
      <c r="P33">
        <v>42</v>
      </c>
    </row>
    <row r="34" spans="16:16" x14ac:dyDescent="0.25">
      <c r="P34">
        <v>44</v>
      </c>
    </row>
    <row r="35" spans="16:16" x14ac:dyDescent="0.25">
      <c r="P35">
        <v>46</v>
      </c>
    </row>
    <row r="36" spans="16:16" x14ac:dyDescent="0.25">
      <c r="P36">
        <v>48</v>
      </c>
    </row>
    <row r="37" spans="16:16" x14ac:dyDescent="0.25">
      <c r="P37">
        <v>50</v>
      </c>
    </row>
    <row r="38" spans="16:16" x14ac:dyDescent="0.25">
      <c r="P38">
        <v>52</v>
      </c>
    </row>
    <row r="39" spans="16:16" x14ac:dyDescent="0.25">
      <c r="P39">
        <v>54</v>
      </c>
    </row>
    <row r="40" spans="16:16" x14ac:dyDescent="0.25">
      <c r="P40">
        <v>56</v>
      </c>
    </row>
    <row r="41" spans="16:16" x14ac:dyDescent="0.25">
      <c r="P41">
        <v>58</v>
      </c>
    </row>
    <row r="42" spans="16:16" x14ac:dyDescent="0.25">
      <c r="P42">
        <v>60</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FFED-3899-41EC-8E28-F02A999E775F}">
  <dimension ref="A1:D100"/>
  <sheetViews>
    <sheetView workbookViewId="0">
      <selection activeCell="G18" sqref="G18"/>
    </sheetView>
  </sheetViews>
  <sheetFormatPr defaultRowHeight="15" x14ac:dyDescent="0.25"/>
  <cols>
    <col min="2" max="2" width="10.42578125" bestFit="1" customWidth="1"/>
    <col min="3" max="3" width="17.5703125" bestFit="1" customWidth="1"/>
    <col min="4" max="4" width="17.85546875" bestFit="1" customWidth="1"/>
  </cols>
  <sheetData>
    <row r="1" spans="1:4" x14ac:dyDescent="0.25">
      <c r="A1" s="15" t="s">
        <v>7</v>
      </c>
      <c r="B1" s="15" t="s">
        <v>8</v>
      </c>
      <c r="C1" s="15" t="s">
        <v>9</v>
      </c>
      <c r="D1" s="15" t="s">
        <v>10</v>
      </c>
    </row>
    <row r="2" spans="1:4" x14ac:dyDescent="0.25">
      <c r="A2" s="5">
        <v>1</v>
      </c>
      <c r="B2" s="16">
        <v>41886</v>
      </c>
      <c r="C2" s="5">
        <v>23</v>
      </c>
      <c r="D2" s="5">
        <v>4</v>
      </c>
    </row>
    <row r="3" spans="1:4" x14ac:dyDescent="0.25">
      <c r="A3" s="5">
        <v>2</v>
      </c>
      <c r="B3" s="16">
        <v>41886</v>
      </c>
      <c r="C3" s="5">
        <v>16</v>
      </c>
      <c r="D3" s="5">
        <v>4</v>
      </c>
    </row>
    <row r="4" spans="1:4" x14ac:dyDescent="0.25">
      <c r="A4" s="5">
        <v>3</v>
      </c>
      <c r="B4" s="16">
        <v>41886</v>
      </c>
      <c r="C4" s="5">
        <v>11</v>
      </c>
      <c r="D4" s="5">
        <v>3</v>
      </c>
    </row>
    <row r="5" spans="1:4" x14ac:dyDescent="0.25">
      <c r="A5" s="5">
        <v>4</v>
      </c>
      <c r="B5" s="16">
        <v>41886</v>
      </c>
      <c r="C5" s="5">
        <v>18</v>
      </c>
      <c r="D5" s="5">
        <v>3</v>
      </c>
    </row>
    <row r="6" spans="1:4" x14ac:dyDescent="0.25">
      <c r="A6" s="5">
        <v>5</v>
      </c>
      <c r="B6" s="16">
        <v>41886</v>
      </c>
      <c r="C6" s="5">
        <v>9</v>
      </c>
      <c r="D6" s="5">
        <v>2</v>
      </c>
    </row>
    <row r="7" spans="1:4" x14ac:dyDescent="0.25">
      <c r="A7" s="5">
        <v>6</v>
      </c>
      <c r="B7" s="16">
        <v>41886</v>
      </c>
      <c r="C7" s="5">
        <v>48</v>
      </c>
      <c r="D7" s="5">
        <v>10</v>
      </c>
    </row>
    <row r="8" spans="1:4" x14ac:dyDescent="0.25">
      <c r="A8" s="5" t="s">
        <v>11</v>
      </c>
      <c r="B8" s="17" t="s">
        <v>12</v>
      </c>
      <c r="C8" s="17" t="s">
        <v>13</v>
      </c>
      <c r="D8" s="17" t="s">
        <v>13</v>
      </c>
    </row>
    <row r="9" spans="1:4" x14ac:dyDescent="0.25">
      <c r="A9" s="15" t="s">
        <v>14</v>
      </c>
      <c r="B9" s="18">
        <v>41886</v>
      </c>
      <c r="C9" s="15">
        <v>125</v>
      </c>
      <c r="D9" s="15">
        <v>26</v>
      </c>
    </row>
    <row r="11" spans="1:4" x14ac:dyDescent="0.25">
      <c r="A11" s="15" t="s">
        <v>7</v>
      </c>
      <c r="B11" s="15" t="s">
        <v>8</v>
      </c>
      <c r="C11" s="15" t="s">
        <v>9</v>
      </c>
      <c r="D11" s="15" t="s">
        <v>10</v>
      </c>
    </row>
    <row r="12" spans="1:4" x14ac:dyDescent="0.25">
      <c r="A12" s="5">
        <v>1</v>
      </c>
      <c r="B12" s="16">
        <v>41934</v>
      </c>
      <c r="C12" s="5">
        <v>20</v>
      </c>
      <c r="D12" s="5">
        <v>5</v>
      </c>
    </row>
    <row r="13" spans="1:4" x14ac:dyDescent="0.25">
      <c r="A13" s="5">
        <v>2</v>
      </c>
      <c r="B13" s="16">
        <v>41934</v>
      </c>
      <c r="C13" s="5">
        <v>55</v>
      </c>
      <c r="D13" s="5">
        <v>12</v>
      </c>
    </row>
    <row r="14" spans="1:4" x14ac:dyDescent="0.25">
      <c r="A14" s="5">
        <v>3</v>
      </c>
      <c r="B14" s="16">
        <v>41934</v>
      </c>
      <c r="C14" s="5">
        <v>63</v>
      </c>
      <c r="D14" s="5">
        <v>14</v>
      </c>
    </row>
    <row r="15" spans="1:4" x14ac:dyDescent="0.25">
      <c r="A15" s="5" t="s">
        <v>15</v>
      </c>
      <c r="B15" s="17" t="s">
        <v>16</v>
      </c>
      <c r="C15" s="17" t="s">
        <v>13</v>
      </c>
      <c r="D15" s="17" t="s">
        <v>13</v>
      </c>
    </row>
    <row r="16" spans="1:4" x14ac:dyDescent="0.25">
      <c r="A16" s="15" t="s">
        <v>14</v>
      </c>
      <c r="B16" s="18">
        <v>41934</v>
      </c>
      <c r="C16" s="15">
        <v>138</v>
      </c>
      <c r="D16" s="15">
        <v>31</v>
      </c>
    </row>
    <row r="18" spans="1:4" x14ac:dyDescent="0.25">
      <c r="A18" s="15" t="s">
        <v>7</v>
      </c>
      <c r="B18" s="15" t="s">
        <v>8</v>
      </c>
      <c r="C18" s="15" t="s">
        <v>9</v>
      </c>
      <c r="D18" s="15" t="s">
        <v>10</v>
      </c>
    </row>
    <row r="19" spans="1:4" x14ac:dyDescent="0.25">
      <c r="A19" s="5">
        <v>1</v>
      </c>
      <c r="B19" s="16">
        <v>42282</v>
      </c>
      <c r="C19" s="5">
        <v>9</v>
      </c>
      <c r="D19" s="5">
        <v>1</v>
      </c>
    </row>
    <row r="20" spans="1:4" x14ac:dyDescent="0.25">
      <c r="A20" s="5">
        <v>2</v>
      </c>
      <c r="B20" s="16">
        <v>42282</v>
      </c>
      <c r="C20" s="5">
        <v>41</v>
      </c>
      <c r="D20" s="5">
        <v>9</v>
      </c>
    </row>
    <row r="21" spans="1:4" x14ac:dyDescent="0.25">
      <c r="A21" s="5">
        <v>3</v>
      </c>
      <c r="B21" s="16">
        <v>42283</v>
      </c>
      <c r="C21" s="5">
        <v>8</v>
      </c>
      <c r="D21" s="5">
        <v>2</v>
      </c>
    </row>
    <row r="22" spans="1:4" x14ac:dyDescent="0.25">
      <c r="A22" s="5">
        <v>4</v>
      </c>
      <c r="B22" s="17" t="s">
        <v>17</v>
      </c>
      <c r="C22" s="17" t="s">
        <v>18</v>
      </c>
      <c r="D22" s="17" t="s">
        <v>19</v>
      </c>
    </row>
    <row r="23" spans="1:4" x14ac:dyDescent="0.25">
      <c r="A23" s="5" t="s">
        <v>20</v>
      </c>
      <c r="B23" s="17" t="s">
        <v>21</v>
      </c>
      <c r="C23" s="17" t="s">
        <v>13</v>
      </c>
      <c r="D23" s="17" t="s">
        <v>13</v>
      </c>
    </row>
    <row r="24" spans="1:4" x14ac:dyDescent="0.25">
      <c r="A24" s="15" t="s">
        <v>14</v>
      </c>
      <c r="B24" s="18">
        <v>42283</v>
      </c>
      <c r="C24" s="15">
        <v>129</v>
      </c>
      <c r="D24" s="15">
        <v>27</v>
      </c>
    </row>
    <row r="26" spans="1:4" x14ac:dyDescent="0.25">
      <c r="A26" s="15" t="s">
        <v>7</v>
      </c>
      <c r="B26" s="15" t="s">
        <v>8</v>
      </c>
      <c r="C26" s="15" t="s">
        <v>9</v>
      </c>
      <c r="D26" s="15" t="s">
        <v>10</v>
      </c>
    </row>
    <row r="27" spans="1:4" x14ac:dyDescent="0.25">
      <c r="A27" s="5">
        <v>1</v>
      </c>
      <c r="B27" s="16">
        <v>42658</v>
      </c>
      <c r="C27" s="5">
        <v>22</v>
      </c>
      <c r="D27" s="5">
        <v>2</v>
      </c>
    </row>
    <row r="28" spans="1:4" x14ac:dyDescent="0.25">
      <c r="A28" s="5">
        <v>2</v>
      </c>
      <c r="B28" s="16">
        <v>42658</v>
      </c>
      <c r="C28" s="5">
        <v>53</v>
      </c>
      <c r="D28" s="5">
        <v>6</v>
      </c>
    </row>
    <row r="29" spans="1:4" x14ac:dyDescent="0.25">
      <c r="A29" s="5">
        <v>3</v>
      </c>
      <c r="B29" s="16">
        <v>42658</v>
      </c>
      <c r="C29" s="5">
        <v>17</v>
      </c>
      <c r="D29" s="5">
        <v>4</v>
      </c>
    </row>
    <row r="30" spans="1:4" x14ac:dyDescent="0.25">
      <c r="A30" s="5">
        <v>4</v>
      </c>
      <c r="B30" s="17" t="s">
        <v>22</v>
      </c>
      <c r="C30" s="17" t="s">
        <v>23</v>
      </c>
      <c r="D30" s="17" t="s">
        <v>13</v>
      </c>
    </row>
    <row r="31" spans="1:4" x14ac:dyDescent="0.25">
      <c r="A31" s="5">
        <v>5</v>
      </c>
      <c r="B31" s="17" t="s">
        <v>22</v>
      </c>
      <c r="C31" s="17" t="s">
        <v>25</v>
      </c>
      <c r="D31" s="17" t="s">
        <v>26</v>
      </c>
    </row>
    <row r="32" spans="1:4" x14ac:dyDescent="0.25">
      <c r="A32" s="5">
        <v>6</v>
      </c>
      <c r="B32" s="17" t="s">
        <v>22</v>
      </c>
      <c r="C32" s="17" t="s">
        <v>27</v>
      </c>
      <c r="D32" s="17" t="s">
        <v>28</v>
      </c>
    </row>
    <row r="33" spans="1:4" x14ac:dyDescent="0.25">
      <c r="A33" s="5">
        <v>7</v>
      </c>
      <c r="B33" s="17" t="s">
        <v>22</v>
      </c>
      <c r="C33" s="17" t="s">
        <v>29</v>
      </c>
      <c r="D33" s="17" t="s">
        <v>24</v>
      </c>
    </row>
    <row r="34" spans="1:4" x14ac:dyDescent="0.25">
      <c r="A34" s="5">
        <v>8</v>
      </c>
      <c r="B34" s="17" t="s">
        <v>22</v>
      </c>
      <c r="C34" s="17" t="s">
        <v>25</v>
      </c>
      <c r="D34" s="17" t="s">
        <v>26</v>
      </c>
    </row>
    <row r="35" spans="1:4" x14ac:dyDescent="0.25">
      <c r="A35" s="5" t="s">
        <v>20</v>
      </c>
      <c r="B35" s="17" t="s">
        <v>30</v>
      </c>
      <c r="C35" s="17" t="s">
        <v>13</v>
      </c>
      <c r="D35" s="17" t="s">
        <v>13</v>
      </c>
    </row>
    <row r="36" spans="1:4" x14ac:dyDescent="0.25">
      <c r="A36" s="15" t="s">
        <v>14</v>
      </c>
      <c r="B36" s="18">
        <v>42658</v>
      </c>
      <c r="C36" s="15">
        <v>155</v>
      </c>
      <c r="D36" s="15">
        <v>23</v>
      </c>
    </row>
    <row r="38" spans="1:4" x14ac:dyDescent="0.25">
      <c r="A38" s="15" t="s">
        <v>7</v>
      </c>
      <c r="B38" s="15" t="s">
        <v>8</v>
      </c>
      <c r="C38" s="15" t="s">
        <v>9</v>
      </c>
      <c r="D38" s="15" t="s">
        <v>31</v>
      </c>
    </row>
    <row r="39" spans="1:4" x14ac:dyDescent="0.25">
      <c r="A39" s="5">
        <v>1</v>
      </c>
      <c r="B39" s="5" t="s">
        <v>32</v>
      </c>
      <c r="C39" s="5">
        <v>28</v>
      </c>
      <c r="D39" s="5">
        <v>7</v>
      </c>
    </row>
    <row r="40" spans="1:4" x14ac:dyDescent="0.25">
      <c r="A40" s="5">
        <v>2</v>
      </c>
      <c r="B40" s="5" t="s">
        <v>32</v>
      </c>
      <c r="C40" s="5">
        <v>98</v>
      </c>
      <c r="D40" s="5">
        <v>17</v>
      </c>
    </row>
    <row r="41" spans="1:4" x14ac:dyDescent="0.25">
      <c r="A41" s="5">
        <v>3</v>
      </c>
      <c r="B41" s="5" t="s">
        <v>32</v>
      </c>
      <c r="C41" s="5">
        <v>20</v>
      </c>
      <c r="D41" s="5">
        <v>3</v>
      </c>
    </row>
    <row r="42" spans="1:4" x14ac:dyDescent="0.25">
      <c r="A42" s="5">
        <v>4</v>
      </c>
      <c r="B42" s="5" t="s">
        <v>33</v>
      </c>
      <c r="C42" s="5">
        <v>40</v>
      </c>
      <c r="D42" s="5">
        <v>8</v>
      </c>
    </row>
    <row r="43" spans="1:4" x14ac:dyDescent="0.25">
      <c r="A43" s="5" t="s">
        <v>20</v>
      </c>
      <c r="B43" s="5" t="s">
        <v>33</v>
      </c>
      <c r="C43" s="5">
        <v>0</v>
      </c>
      <c r="D43" s="5">
        <v>0</v>
      </c>
    </row>
    <row r="44" spans="1:4" x14ac:dyDescent="0.25">
      <c r="A44" s="15" t="s">
        <v>34</v>
      </c>
      <c r="B44" s="15" t="s">
        <v>33</v>
      </c>
      <c r="C44" s="15">
        <v>186</v>
      </c>
      <c r="D44" s="15">
        <v>35</v>
      </c>
    </row>
    <row r="47" spans="1:4" x14ac:dyDescent="0.25">
      <c r="A47" s="15" t="s">
        <v>7</v>
      </c>
      <c r="B47" s="15" t="s">
        <v>8</v>
      </c>
      <c r="C47" s="15" t="s">
        <v>9</v>
      </c>
      <c r="D47" s="15" t="s">
        <v>31</v>
      </c>
    </row>
    <row r="48" spans="1:4" x14ac:dyDescent="0.25">
      <c r="A48" s="5">
        <v>1</v>
      </c>
      <c r="B48" s="5" t="s">
        <v>35</v>
      </c>
      <c r="C48" s="5">
        <v>95</v>
      </c>
      <c r="D48" s="5">
        <v>6</v>
      </c>
    </row>
    <row r="49" spans="1:4" x14ac:dyDescent="0.25">
      <c r="A49" s="5">
        <v>2</v>
      </c>
      <c r="B49" s="5" t="s">
        <v>35</v>
      </c>
      <c r="C49" s="5">
        <v>5</v>
      </c>
      <c r="D49" s="5">
        <v>0</v>
      </c>
    </row>
    <row r="50" spans="1:4" x14ac:dyDescent="0.25">
      <c r="A50" s="5">
        <v>3</v>
      </c>
      <c r="B50" s="5" t="s">
        <v>35</v>
      </c>
      <c r="C50" s="5">
        <v>54</v>
      </c>
      <c r="D50" s="5">
        <v>7</v>
      </c>
    </row>
    <row r="51" spans="1:4" x14ac:dyDescent="0.25">
      <c r="A51" s="5" t="s">
        <v>20</v>
      </c>
      <c r="B51" s="5" t="s">
        <v>36</v>
      </c>
      <c r="C51" s="5">
        <v>0</v>
      </c>
      <c r="D51" s="5">
        <v>0</v>
      </c>
    </row>
    <row r="52" spans="1:4" x14ac:dyDescent="0.25">
      <c r="A52" s="15" t="s">
        <v>34</v>
      </c>
      <c r="B52" s="15" t="s">
        <v>35</v>
      </c>
      <c r="C52" s="15">
        <v>154</v>
      </c>
      <c r="D52" s="15">
        <v>13</v>
      </c>
    </row>
    <row r="54" spans="1:4" x14ac:dyDescent="0.25">
      <c r="A54" s="15" t="s">
        <v>37</v>
      </c>
      <c r="B54" s="15" t="s">
        <v>8</v>
      </c>
      <c r="C54" s="15" t="s">
        <v>9</v>
      </c>
      <c r="D54" s="15" t="s">
        <v>31</v>
      </c>
    </row>
    <row r="55" spans="1:4" x14ac:dyDescent="0.25">
      <c r="A55" s="5">
        <v>1</v>
      </c>
      <c r="B55" s="5" t="s">
        <v>38</v>
      </c>
      <c r="C55" s="5">
        <v>104</v>
      </c>
      <c r="D55" s="5">
        <v>5</v>
      </c>
    </row>
    <row r="56" spans="1:4" x14ac:dyDescent="0.25">
      <c r="A56" s="5">
        <v>2</v>
      </c>
      <c r="B56" s="5" t="s">
        <v>38</v>
      </c>
      <c r="C56" s="5">
        <v>48</v>
      </c>
      <c r="D56" s="5">
        <v>4</v>
      </c>
    </row>
    <row r="57" spans="1:4" x14ac:dyDescent="0.25">
      <c r="A57" s="5" t="s">
        <v>20</v>
      </c>
      <c r="B57" s="5" t="s">
        <v>39</v>
      </c>
      <c r="C57" s="5">
        <v>0</v>
      </c>
      <c r="D57" s="5">
        <v>0</v>
      </c>
    </row>
    <row r="58" spans="1:4" x14ac:dyDescent="0.25">
      <c r="A58" s="15" t="s">
        <v>34</v>
      </c>
      <c r="B58" s="15" t="s">
        <v>38</v>
      </c>
      <c r="C58" s="15">
        <v>152</v>
      </c>
      <c r="D58" s="15">
        <v>9</v>
      </c>
    </row>
    <row r="60" spans="1:4" x14ac:dyDescent="0.25">
      <c r="A60" s="15" t="s">
        <v>37</v>
      </c>
      <c r="B60" s="15" t="s">
        <v>8</v>
      </c>
      <c r="C60" s="15" t="s">
        <v>9</v>
      </c>
      <c r="D60" s="15" t="s">
        <v>40</v>
      </c>
    </row>
    <row r="61" spans="1:4" x14ac:dyDescent="0.25">
      <c r="A61" s="5">
        <v>1</v>
      </c>
      <c r="B61" s="5" t="s">
        <v>41</v>
      </c>
      <c r="C61" s="5">
        <v>39</v>
      </c>
      <c r="D61" s="5">
        <v>2</v>
      </c>
    </row>
    <row r="62" spans="1:4" x14ac:dyDescent="0.25">
      <c r="A62" s="5">
        <v>2</v>
      </c>
      <c r="B62" s="5" t="s">
        <v>41</v>
      </c>
      <c r="C62" s="5">
        <v>102</v>
      </c>
      <c r="D62" s="5">
        <v>4</v>
      </c>
    </row>
    <row r="63" spans="1:4" x14ac:dyDescent="0.25">
      <c r="A63" s="5">
        <v>3</v>
      </c>
      <c r="B63" s="5" t="s">
        <v>41</v>
      </c>
      <c r="C63" s="5">
        <v>37</v>
      </c>
      <c r="D63" s="5">
        <v>5</v>
      </c>
    </row>
    <row r="64" spans="1:4" x14ac:dyDescent="0.25">
      <c r="A64" s="5">
        <v>4</v>
      </c>
      <c r="B64" s="5" t="s">
        <v>41</v>
      </c>
      <c r="C64" s="5">
        <v>33</v>
      </c>
      <c r="D64" s="5">
        <v>2</v>
      </c>
    </row>
    <row r="65" spans="1:4" x14ac:dyDescent="0.25">
      <c r="A65" s="5" t="s">
        <v>20</v>
      </c>
      <c r="B65" s="5" t="s">
        <v>42</v>
      </c>
      <c r="C65" s="5">
        <v>0</v>
      </c>
      <c r="D65" s="5">
        <v>0</v>
      </c>
    </row>
    <row r="66" spans="1:4" x14ac:dyDescent="0.25">
      <c r="A66" s="15" t="s">
        <v>34</v>
      </c>
      <c r="B66" s="5" t="s">
        <v>41</v>
      </c>
      <c r="C66" s="15">
        <v>211</v>
      </c>
      <c r="D66" s="15">
        <v>13</v>
      </c>
    </row>
    <row r="68" spans="1:4" x14ac:dyDescent="0.25">
      <c r="A68" s="15" t="s">
        <v>37</v>
      </c>
      <c r="B68" s="15" t="s">
        <v>8</v>
      </c>
      <c r="C68" s="15" t="s">
        <v>9</v>
      </c>
      <c r="D68" s="15" t="s">
        <v>40</v>
      </c>
    </row>
    <row r="69" spans="1:4" x14ac:dyDescent="0.25">
      <c r="A69" s="5">
        <v>1</v>
      </c>
      <c r="B69" s="5" t="s">
        <v>43</v>
      </c>
      <c r="C69" s="5">
        <v>22</v>
      </c>
      <c r="D69" s="5">
        <v>1</v>
      </c>
    </row>
    <row r="70" spans="1:4" x14ac:dyDescent="0.25">
      <c r="A70" s="5">
        <v>2</v>
      </c>
      <c r="B70" s="5" t="s">
        <v>43</v>
      </c>
      <c r="C70" s="5">
        <v>95</v>
      </c>
      <c r="D70" s="5">
        <v>7</v>
      </c>
    </row>
    <row r="71" spans="1:4" x14ac:dyDescent="0.25">
      <c r="A71" s="5">
        <v>3</v>
      </c>
      <c r="B71" s="5" t="s">
        <v>43</v>
      </c>
      <c r="C71" s="5">
        <v>18</v>
      </c>
      <c r="D71" s="5">
        <v>1</v>
      </c>
    </row>
    <row r="72" spans="1:4" x14ac:dyDescent="0.25">
      <c r="A72" s="5">
        <v>4</v>
      </c>
      <c r="B72" s="5" t="s">
        <v>43</v>
      </c>
      <c r="C72" s="5">
        <v>33</v>
      </c>
      <c r="D72" s="5">
        <v>2</v>
      </c>
    </row>
    <row r="73" spans="1:4" x14ac:dyDescent="0.25">
      <c r="A73" s="5" t="s">
        <v>20</v>
      </c>
      <c r="B73" s="5" t="s">
        <v>44</v>
      </c>
      <c r="C73" s="5">
        <v>0</v>
      </c>
      <c r="D73" s="5">
        <v>0</v>
      </c>
    </row>
    <row r="74" spans="1:4" x14ac:dyDescent="0.25">
      <c r="A74" s="15" t="s">
        <v>34</v>
      </c>
      <c r="B74" s="5" t="s">
        <v>43</v>
      </c>
      <c r="C74" s="15">
        <v>168</v>
      </c>
      <c r="D74" s="15">
        <v>11</v>
      </c>
    </row>
    <row r="76" spans="1:4" x14ac:dyDescent="0.25">
      <c r="A76" s="15" t="s">
        <v>37</v>
      </c>
      <c r="B76" s="15" t="s">
        <v>8</v>
      </c>
      <c r="C76" s="15" t="s">
        <v>9</v>
      </c>
      <c r="D76" s="15" t="s">
        <v>40</v>
      </c>
    </row>
    <row r="77" spans="1:4" x14ac:dyDescent="0.25">
      <c r="A77" s="5">
        <v>1</v>
      </c>
      <c r="B77" s="5" t="s">
        <v>45</v>
      </c>
      <c r="C77" s="5">
        <v>76</v>
      </c>
      <c r="D77" s="5">
        <v>3</v>
      </c>
    </row>
    <row r="78" spans="1:4" x14ac:dyDescent="0.25">
      <c r="A78" s="5">
        <v>2</v>
      </c>
      <c r="B78" s="5" t="s">
        <v>45</v>
      </c>
      <c r="C78" s="5">
        <v>89</v>
      </c>
      <c r="D78" s="5">
        <v>2</v>
      </c>
    </row>
    <row r="79" spans="1:4" x14ac:dyDescent="0.25">
      <c r="A79" s="5">
        <v>3</v>
      </c>
      <c r="B79" s="5" t="s">
        <v>45</v>
      </c>
      <c r="C79" s="5">
        <v>21</v>
      </c>
      <c r="D79" s="5">
        <v>2</v>
      </c>
    </row>
    <row r="80" spans="1:4" x14ac:dyDescent="0.25">
      <c r="A80" s="5" t="s">
        <v>20</v>
      </c>
      <c r="B80" s="5" t="s">
        <v>45</v>
      </c>
      <c r="C80" s="5">
        <v>0</v>
      </c>
      <c r="D80" s="5">
        <v>0</v>
      </c>
    </row>
    <row r="81" spans="1:4" x14ac:dyDescent="0.25">
      <c r="A81" s="15" t="s">
        <v>34</v>
      </c>
      <c r="B81" s="15" t="s">
        <v>45</v>
      </c>
      <c r="C81" s="15">
        <v>186</v>
      </c>
      <c r="D81" s="15">
        <v>7</v>
      </c>
    </row>
    <row r="83" spans="1:4" x14ac:dyDescent="0.25">
      <c r="A83" s="15" t="s">
        <v>37</v>
      </c>
      <c r="B83" s="15" t="s">
        <v>8</v>
      </c>
      <c r="C83" s="15" t="s">
        <v>9</v>
      </c>
      <c r="D83" s="15" t="s">
        <v>40</v>
      </c>
    </row>
    <row r="84" spans="1:4" x14ac:dyDescent="0.25">
      <c r="A84" s="5"/>
      <c r="B84" s="5" t="s">
        <v>46</v>
      </c>
      <c r="C84" s="4">
        <v>12</v>
      </c>
      <c r="D84" s="4">
        <v>1</v>
      </c>
    </row>
    <row r="85" spans="1:4" x14ac:dyDescent="0.25">
      <c r="A85" s="5"/>
      <c r="B85" s="5" t="s">
        <v>46</v>
      </c>
      <c r="C85" s="4">
        <v>16</v>
      </c>
      <c r="D85" s="4">
        <v>1</v>
      </c>
    </row>
    <row r="86" spans="1:4" x14ac:dyDescent="0.25">
      <c r="A86" s="5"/>
      <c r="B86" s="5" t="s">
        <v>46</v>
      </c>
      <c r="C86" s="4">
        <v>11</v>
      </c>
      <c r="D86" s="4">
        <v>1</v>
      </c>
    </row>
    <row r="87" spans="1:4" x14ac:dyDescent="0.25">
      <c r="A87" s="5"/>
      <c r="B87" s="5" t="s">
        <v>46</v>
      </c>
      <c r="C87" s="4">
        <v>6</v>
      </c>
      <c r="D87" s="4">
        <v>1</v>
      </c>
    </row>
    <row r="88" spans="1:4" x14ac:dyDescent="0.25">
      <c r="A88" s="5"/>
      <c r="B88" s="5" t="s">
        <v>46</v>
      </c>
      <c r="C88" s="4">
        <v>7</v>
      </c>
      <c r="D88" s="4">
        <v>2</v>
      </c>
    </row>
    <row r="89" spans="1:4" x14ac:dyDescent="0.25">
      <c r="A89" s="5"/>
      <c r="B89" s="5" t="s">
        <v>46</v>
      </c>
      <c r="C89" s="4">
        <v>26</v>
      </c>
      <c r="D89" s="4">
        <v>3</v>
      </c>
    </row>
    <row r="90" spans="1:4" x14ac:dyDescent="0.25">
      <c r="A90" s="15"/>
      <c r="B90" s="5" t="s">
        <v>46</v>
      </c>
      <c r="C90" s="4">
        <v>4</v>
      </c>
      <c r="D90" s="4">
        <v>0</v>
      </c>
    </row>
    <row r="91" spans="1:4" x14ac:dyDescent="0.25">
      <c r="A91" s="4"/>
      <c r="B91" s="5" t="s">
        <v>46</v>
      </c>
      <c r="C91" s="4">
        <v>21</v>
      </c>
      <c r="D91" s="4">
        <v>2</v>
      </c>
    </row>
    <row r="92" spans="1:4" x14ac:dyDescent="0.25">
      <c r="A92" s="4"/>
      <c r="B92" s="5" t="s">
        <v>46</v>
      </c>
      <c r="C92" s="4">
        <v>7</v>
      </c>
      <c r="D92" s="4">
        <v>1</v>
      </c>
    </row>
    <row r="93" spans="1:4" x14ac:dyDescent="0.25">
      <c r="A93" s="4"/>
      <c r="B93" s="5" t="s">
        <v>46</v>
      </c>
      <c r="C93" s="4">
        <v>7</v>
      </c>
      <c r="D93" s="4">
        <v>0</v>
      </c>
    </row>
    <row r="94" spans="1:4" x14ac:dyDescent="0.25">
      <c r="A94" s="4"/>
      <c r="B94" s="5" t="s">
        <v>46</v>
      </c>
      <c r="C94" s="4">
        <v>16</v>
      </c>
      <c r="D94" s="4">
        <v>1</v>
      </c>
    </row>
    <row r="95" spans="1:4" x14ac:dyDescent="0.25">
      <c r="A95" s="4"/>
      <c r="B95" s="5" t="s">
        <v>46</v>
      </c>
      <c r="C95" s="4">
        <v>27</v>
      </c>
      <c r="D95" s="4">
        <v>1</v>
      </c>
    </row>
    <row r="96" spans="1:4" x14ac:dyDescent="0.25">
      <c r="A96" s="4"/>
      <c r="B96" s="5" t="s">
        <v>46</v>
      </c>
      <c r="C96" s="4">
        <v>6</v>
      </c>
      <c r="D96" s="4">
        <v>0</v>
      </c>
    </row>
    <row r="97" spans="1:4" x14ac:dyDescent="0.25">
      <c r="A97" s="2" t="s">
        <v>34</v>
      </c>
      <c r="B97" s="2"/>
      <c r="C97" s="2">
        <f>SUM(C84:C96)</f>
        <v>166</v>
      </c>
      <c r="D97" s="2">
        <f>SUM(D84:D96)</f>
        <v>14</v>
      </c>
    </row>
    <row r="99" spans="1:4" x14ac:dyDescent="0.25">
      <c r="A99" s="15" t="s">
        <v>37</v>
      </c>
      <c r="B99" s="15" t="s">
        <v>8</v>
      </c>
      <c r="C99" s="15" t="s">
        <v>9</v>
      </c>
      <c r="D99" s="15" t="s">
        <v>40</v>
      </c>
    </row>
    <row r="100" spans="1:4" x14ac:dyDescent="0.25">
      <c r="A100" s="4"/>
      <c r="B100" s="4" t="s">
        <v>47</v>
      </c>
      <c r="C100" s="4">
        <v>183</v>
      </c>
      <c r="D100" s="4">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 history</vt:lpstr>
      <vt:lpstr>Census data</vt:lpstr>
      <vt:lpstr>Dedicated count 2014</vt:lpstr>
      <vt:lpstr>Contraception 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Rickert Van Der Westhuizen</dc:creator>
  <cp:lastModifiedBy>Rickert Van Der Westhuizen</cp:lastModifiedBy>
  <dcterms:created xsi:type="dcterms:W3CDTF">2025-03-18T12:36:30Z</dcterms:created>
  <dcterms:modified xsi:type="dcterms:W3CDTF">2025-03-18T13:00:06Z</dcterms:modified>
</cp:coreProperties>
</file>