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-simon\analyses\Elephant dynamics\"/>
    </mc:Choice>
  </mc:AlternateContent>
  <xr:revisionPtr revIDLastSave="0" documentId="8_{29165282-6B66-4E8E-ACD0-8DB40CEA6938}" xr6:coauthVersionLast="47" xr6:coauthVersionMax="47" xr10:uidLastSave="{00000000-0000-0000-0000-000000000000}"/>
  <bookViews>
    <workbookView xWindow="-120" yWindow="-120" windowWidth="20730" windowHeight="11760" xr2:uid="{57283578-537F-4D1C-AA2A-FD150CB4A1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1" l="1"/>
  <c r="S21" i="1"/>
  <c r="S19" i="1"/>
  <c r="U18" i="1"/>
  <c r="R18" i="1"/>
</calcChain>
</file>

<file path=xl/sharedStrings.xml><?xml version="1.0" encoding="utf-8"?>
<sst xmlns="http://schemas.openxmlformats.org/spreadsheetml/2006/main" count="20" uniqueCount="20">
  <si>
    <t>AREA</t>
  </si>
  <si>
    <t>Josivanini</t>
  </si>
  <si>
    <t>Shakwankie</t>
  </si>
  <si>
    <t>Central a</t>
  </si>
  <si>
    <t>Central b</t>
  </si>
  <si>
    <t>Ngamo</t>
  </si>
  <si>
    <t>Shapi</t>
  </si>
  <si>
    <t>Main Camp</t>
  </si>
  <si>
    <t>Robins</t>
  </si>
  <si>
    <t>Dandari</t>
  </si>
  <si>
    <t>Sinamatella</t>
  </si>
  <si>
    <t>Mtoa</t>
  </si>
  <si>
    <t>Upper 95% C.I.</t>
  </si>
  <si>
    <t>Population estimate</t>
  </si>
  <si>
    <t>Lower 95% C.I.</t>
  </si>
  <si>
    <t>95% C.I.</t>
  </si>
  <si>
    <t>Total area surveyed (km²)</t>
  </si>
  <si>
    <t>Total sample area (km²)</t>
  </si>
  <si>
    <t>% sample</t>
  </si>
  <si>
    <t>Density (/km²)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</si>
</sst>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EBBB-B12D-4F3C-AD38-FE094D7E8CA3}">
  <dimension ref="A1:AA21"/>
  <sheetViews>
    <sheetView tabSelected="1" workbookViewId="0">
      <selection activeCell="C3" sqref="C3"/>
    </sheetView>
  </sheetViews>
  <sheetFormatPr baseColWidth="10" defaultRowHeight="15" x14ac:dyDescent="0.25"/>
  <cols>
    <col min="1" max="1" width="25.7109375" customWidth="1"/>
  </cols>
  <sheetData>
    <row r="1" spans="1:27" s="1" customFormat="1" x14ac:dyDescent="0.25">
      <c r="A1" s="1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/>
      <c r="Y1"/>
      <c r="Z1"/>
      <c r="AA1"/>
    </row>
    <row r="2" spans="1:27" x14ac:dyDescent="0.25">
      <c r="A2" s="1" t="s">
        <v>1</v>
      </c>
      <c r="C2">
        <v>1506</v>
      </c>
      <c r="D2">
        <v>657</v>
      </c>
      <c r="E2">
        <v>798</v>
      </c>
      <c r="F2">
        <v>1907</v>
      </c>
      <c r="G2" s="2"/>
      <c r="H2">
        <v>750</v>
      </c>
      <c r="I2">
        <v>1114</v>
      </c>
      <c r="J2">
        <v>443</v>
      </c>
      <c r="K2">
        <v>1575</v>
      </c>
      <c r="L2">
        <v>1583</v>
      </c>
      <c r="M2">
        <v>2643</v>
      </c>
      <c r="N2">
        <v>1146</v>
      </c>
      <c r="O2">
        <v>2937</v>
      </c>
      <c r="P2">
        <v>6890</v>
      </c>
      <c r="Q2">
        <v>861</v>
      </c>
      <c r="R2">
        <v>2317</v>
      </c>
      <c r="S2">
        <v>4021</v>
      </c>
      <c r="T2">
        <v>1952</v>
      </c>
      <c r="U2">
        <v>1337</v>
      </c>
      <c r="W2">
        <v>5077</v>
      </c>
      <c r="X2" s="1"/>
    </row>
    <row r="3" spans="1:27" x14ac:dyDescent="0.25">
      <c r="A3" s="1" t="s">
        <v>2</v>
      </c>
      <c r="C3">
        <v>3931</v>
      </c>
      <c r="D3">
        <v>1611</v>
      </c>
      <c r="E3">
        <v>1249</v>
      </c>
      <c r="F3">
        <v>2130</v>
      </c>
      <c r="H3">
        <v>1098</v>
      </c>
      <c r="I3">
        <v>1303</v>
      </c>
      <c r="J3">
        <v>3916</v>
      </c>
      <c r="K3">
        <v>319</v>
      </c>
      <c r="L3">
        <v>785</v>
      </c>
      <c r="M3">
        <v>411</v>
      </c>
      <c r="N3">
        <v>553</v>
      </c>
      <c r="O3">
        <v>782</v>
      </c>
      <c r="P3">
        <v>171</v>
      </c>
      <c r="Q3">
        <v>0</v>
      </c>
      <c r="R3">
        <v>3904</v>
      </c>
      <c r="S3">
        <v>4996</v>
      </c>
      <c r="T3">
        <v>160</v>
      </c>
      <c r="U3">
        <v>485</v>
      </c>
      <c r="W3">
        <v>3251</v>
      </c>
    </row>
    <row r="4" spans="1:27" x14ac:dyDescent="0.25">
      <c r="A4" s="1" t="s">
        <v>3</v>
      </c>
      <c r="C4">
        <v>1845</v>
      </c>
      <c r="D4">
        <v>1266</v>
      </c>
      <c r="E4">
        <v>3274</v>
      </c>
      <c r="F4">
        <v>3102</v>
      </c>
      <c r="H4">
        <v>2076</v>
      </c>
      <c r="I4">
        <v>2694</v>
      </c>
      <c r="J4">
        <v>1568</v>
      </c>
      <c r="K4">
        <v>1133</v>
      </c>
      <c r="L4">
        <v>4334</v>
      </c>
      <c r="M4">
        <v>5707</v>
      </c>
      <c r="N4">
        <v>2933</v>
      </c>
      <c r="O4">
        <v>905</v>
      </c>
      <c r="P4">
        <v>1369</v>
      </c>
      <c r="Q4">
        <v>1355</v>
      </c>
      <c r="R4">
        <v>1493</v>
      </c>
      <c r="S4">
        <v>3244</v>
      </c>
      <c r="T4">
        <v>839</v>
      </c>
      <c r="U4">
        <v>2022</v>
      </c>
      <c r="W4">
        <v>795</v>
      </c>
      <c r="X4" s="1"/>
    </row>
    <row r="5" spans="1:27" x14ac:dyDescent="0.25">
      <c r="A5" s="1" t="s">
        <v>4</v>
      </c>
      <c r="C5">
        <v>2053</v>
      </c>
      <c r="D5">
        <v>1799</v>
      </c>
      <c r="E5">
        <v>2609</v>
      </c>
      <c r="F5">
        <v>2186</v>
      </c>
      <c r="G5">
        <v>871</v>
      </c>
      <c r="H5">
        <v>0</v>
      </c>
      <c r="I5">
        <v>1514</v>
      </c>
      <c r="J5">
        <v>2816</v>
      </c>
      <c r="K5">
        <v>215</v>
      </c>
      <c r="L5">
        <v>0</v>
      </c>
      <c r="M5">
        <v>769</v>
      </c>
      <c r="N5">
        <v>1868</v>
      </c>
      <c r="O5">
        <v>2798</v>
      </c>
      <c r="P5">
        <v>15</v>
      </c>
      <c r="Q5">
        <v>59</v>
      </c>
      <c r="R5">
        <v>1335</v>
      </c>
      <c r="S5">
        <v>3453</v>
      </c>
      <c r="T5">
        <v>61</v>
      </c>
      <c r="U5">
        <v>78</v>
      </c>
      <c r="W5">
        <v>1247</v>
      </c>
    </row>
    <row r="6" spans="1:27" x14ac:dyDescent="0.25">
      <c r="A6" s="1" t="s">
        <v>5</v>
      </c>
      <c r="C6">
        <v>1373</v>
      </c>
      <c r="D6">
        <v>4498</v>
      </c>
      <c r="E6">
        <v>3513</v>
      </c>
      <c r="F6">
        <v>3052</v>
      </c>
      <c r="G6">
        <v>2171</v>
      </c>
      <c r="H6">
        <v>1849</v>
      </c>
      <c r="I6">
        <v>3726</v>
      </c>
      <c r="J6">
        <v>3602</v>
      </c>
      <c r="K6">
        <v>4498</v>
      </c>
      <c r="L6">
        <v>4563</v>
      </c>
      <c r="M6">
        <v>4396</v>
      </c>
      <c r="N6">
        <v>4075</v>
      </c>
      <c r="O6">
        <v>2754</v>
      </c>
      <c r="P6">
        <v>4489</v>
      </c>
      <c r="Q6">
        <v>4235</v>
      </c>
      <c r="R6">
        <v>2661</v>
      </c>
      <c r="S6">
        <v>2265</v>
      </c>
      <c r="T6">
        <v>5258</v>
      </c>
      <c r="U6">
        <v>8172</v>
      </c>
      <c r="W6">
        <v>5796</v>
      </c>
      <c r="X6" s="1"/>
    </row>
    <row r="7" spans="1:27" x14ac:dyDescent="0.25">
      <c r="A7" s="1" t="s">
        <v>6</v>
      </c>
      <c r="C7">
        <v>2188</v>
      </c>
      <c r="D7">
        <v>2149</v>
      </c>
      <c r="E7">
        <v>1899</v>
      </c>
      <c r="F7">
        <v>591</v>
      </c>
      <c r="G7">
        <v>792</v>
      </c>
      <c r="H7">
        <v>386</v>
      </c>
      <c r="I7">
        <v>0</v>
      </c>
      <c r="J7">
        <v>1497</v>
      </c>
      <c r="K7">
        <v>4224</v>
      </c>
      <c r="L7">
        <v>1278</v>
      </c>
      <c r="M7">
        <v>3734</v>
      </c>
      <c r="N7">
        <v>4990</v>
      </c>
      <c r="O7">
        <v>1545</v>
      </c>
      <c r="P7">
        <v>1217</v>
      </c>
      <c r="Q7">
        <v>1096</v>
      </c>
      <c r="R7">
        <v>2513</v>
      </c>
      <c r="S7">
        <v>4654</v>
      </c>
      <c r="T7">
        <v>847</v>
      </c>
      <c r="U7">
        <v>2975</v>
      </c>
      <c r="W7">
        <v>4613</v>
      </c>
    </row>
    <row r="8" spans="1:27" x14ac:dyDescent="0.25">
      <c r="A8" s="1" t="s">
        <v>7</v>
      </c>
      <c r="C8">
        <v>2742</v>
      </c>
      <c r="D8">
        <v>5000</v>
      </c>
      <c r="E8">
        <v>3262</v>
      </c>
      <c r="F8">
        <v>1252</v>
      </c>
      <c r="G8">
        <v>1904</v>
      </c>
      <c r="H8">
        <v>1109</v>
      </c>
      <c r="I8">
        <v>2932</v>
      </c>
      <c r="J8">
        <v>4715</v>
      </c>
      <c r="K8">
        <v>3901</v>
      </c>
      <c r="L8">
        <v>4952</v>
      </c>
      <c r="M8">
        <v>3093</v>
      </c>
      <c r="N8">
        <v>6506</v>
      </c>
      <c r="O8">
        <v>3675</v>
      </c>
      <c r="P8">
        <v>6264</v>
      </c>
      <c r="Q8">
        <v>4770</v>
      </c>
      <c r="R8">
        <v>2406</v>
      </c>
      <c r="S8">
        <v>1899</v>
      </c>
      <c r="T8">
        <v>7795</v>
      </c>
      <c r="U8">
        <v>7986</v>
      </c>
      <c r="W8">
        <v>3762</v>
      </c>
      <c r="X8" s="1"/>
    </row>
    <row r="9" spans="1:27" x14ac:dyDescent="0.25">
      <c r="A9" s="1" t="s">
        <v>8</v>
      </c>
      <c r="C9">
        <v>695</v>
      </c>
      <c r="D9">
        <v>670</v>
      </c>
      <c r="E9">
        <v>2622</v>
      </c>
      <c r="F9">
        <v>510</v>
      </c>
      <c r="G9">
        <v>398</v>
      </c>
      <c r="H9">
        <v>310</v>
      </c>
      <c r="I9">
        <v>828</v>
      </c>
      <c r="J9">
        <v>282</v>
      </c>
      <c r="K9">
        <v>3420</v>
      </c>
      <c r="L9">
        <v>2939</v>
      </c>
      <c r="M9">
        <v>4146</v>
      </c>
      <c r="N9">
        <v>4096</v>
      </c>
      <c r="O9">
        <v>2747</v>
      </c>
      <c r="P9">
        <v>4529</v>
      </c>
      <c r="Q9">
        <v>3641</v>
      </c>
      <c r="R9">
        <v>3201</v>
      </c>
      <c r="S9">
        <v>1032</v>
      </c>
      <c r="T9">
        <v>4678</v>
      </c>
      <c r="U9">
        <v>2980</v>
      </c>
      <c r="W9">
        <v>3851</v>
      </c>
    </row>
    <row r="10" spans="1:27" x14ac:dyDescent="0.25">
      <c r="A10" s="1" t="s">
        <v>9</v>
      </c>
      <c r="C10">
        <v>2690</v>
      </c>
      <c r="D10">
        <v>1527</v>
      </c>
      <c r="E10">
        <v>1474</v>
      </c>
      <c r="F10">
        <v>1256</v>
      </c>
      <c r="G10">
        <v>1258</v>
      </c>
      <c r="H10">
        <v>1604</v>
      </c>
      <c r="I10">
        <v>1058</v>
      </c>
      <c r="J10">
        <v>1051</v>
      </c>
      <c r="K10">
        <v>2513</v>
      </c>
      <c r="L10">
        <v>2088</v>
      </c>
      <c r="M10">
        <v>2945</v>
      </c>
      <c r="N10">
        <v>4921</v>
      </c>
      <c r="O10">
        <v>1679</v>
      </c>
      <c r="P10">
        <v>1741</v>
      </c>
      <c r="Q10">
        <v>1591</v>
      </c>
      <c r="R10">
        <v>2871</v>
      </c>
      <c r="S10">
        <v>2469</v>
      </c>
      <c r="T10">
        <v>2368</v>
      </c>
      <c r="U10">
        <v>3097</v>
      </c>
      <c r="W10">
        <v>6057</v>
      </c>
      <c r="X10" s="1"/>
    </row>
    <row r="11" spans="1:27" x14ac:dyDescent="0.25">
      <c r="A11" s="1" t="s">
        <v>10</v>
      </c>
      <c r="C11">
        <v>368</v>
      </c>
      <c r="D11">
        <v>590</v>
      </c>
      <c r="E11">
        <v>550</v>
      </c>
      <c r="F11">
        <v>463</v>
      </c>
      <c r="G11">
        <v>991</v>
      </c>
      <c r="H11">
        <v>2583</v>
      </c>
      <c r="I11">
        <v>1803</v>
      </c>
      <c r="J11">
        <v>995</v>
      </c>
      <c r="K11">
        <v>1167</v>
      </c>
      <c r="L11">
        <v>2751</v>
      </c>
      <c r="M11">
        <v>2603</v>
      </c>
      <c r="N11">
        <v>3104</v>
      </c>
      <c r="O11">
        <v>1830</v>
      </c>
      <c r="P11">
        <v>3009</v>
      </c>
      <c r="Q11">
        <v>3605</v>
      </c>
      <c r="R11">
        <v>3353</v>
      </c>
      <c r="S11">
        <v>2055</v>
      </c>
      <c r="T11">
        <v>4279</v>
      </c>
      <c r="U11">
        <v>3430</v>
      </c>
      <c r="W11">
        <v>5408</v>
      </c>
    </row>
    <row r="12" spans="1:27" x14ac:dyDescent="0.25">
      <c r="A12" s="1" t="s">
        <v>11</v>
      </c>
      <c r="C12">
        <v>274</v>
      </c>
      <c r="D12">
        <v>1511</v>
      </c>
      <c r="E12">
        <v>418</v>
      </c>
      <c r="F12">
        <v>269</v>
      </c>
      <c r="G12">
        <v>1639</v>
      </c>
      <c r="H12">
        <v>1358</v>
      </c>
      <c r="I12">
        <v>587</v>
      </c>
      <c r="J12">
        <v>705</v>
      </c>
      <c r="K12">
        <v>528</v>
      </c>
      <c r="L12">
        <v>1881</v>
      </c>
      <c r="M12">
        <v>1531</v>
      </c>
      <c r="N12">
        <v>1601</v>
      </c>
      <c r="O12">
        <v>896</v>
      </c>
      <c r="P12">
        <v>1883</v>
      </c>
      <c r="Q12">
        <v>1548</v>
      </c>
      <c r="R12">
        <v>1854</v>
      </c>
      <c r="S12">
        <v>1525</v>
      </c>
      <c r="T12">
        <v>691</v>
      </c>
      <c r="U12">
        <v>1603</v>
      </c>
      <c r="W12">
        <v>4636</v>
      </c>
      <c r="X12" s="1"/>
    </row>
    <row r="13" spans="1:27" x14ac:dyDescent="0.25">
      <c r="A13" s="1"/>
    </row>
    <row r="14" spans="1:27" x14ac:dyDescent="0.25">
      <c r="A14" s="1" t="s">
        <v>12</v>
      </c>
      <c r="B14">
        <v>26089</v>
      </c>
      <c r="C14">
        <v>23375</v>
      </c>
      <c r="D14">
        <v>25781</v>
      </c>
      <c r="E14">
        <v>27270</v>
      </c>
      <c r="F14">
        <v>22097</v>
      </c>
      <c r="G14">
        <v>13144</v>
      </c>
      <c r="H14">
        <v>16902</v>
      </c>
      <c r="I14">
        <v>21958</v>
      </c>
      <c r="J14">
        <v>28499</v>
      </c>
      <c r="K14">
        <v>30030</v>
      </c>
      <c r="L14">
        <v>36189</v>
      </c>
      <c r="M14">
        <v>39135</v>
      </c>
      <c r="N14">
        <v>43690</v>
      </c>
      <c r="O14">
        <v>27004</v>
      </c>
      <c r="P14">
        <v>42306</v>
      </c>
      <c r="Q14">
        <v>26811</v>
      </c>
      <c r="R14">
        <v>34544</v>
      </c>
      <c r="S14">
        <v>24651</v>
      </c>
      <c r="T14">
        <v>33745</v>
      </c>
      <c r="U14">
        <v>39745</v>
      </c>
      <c r="W14">
        <v>50329</v>
      </c>
      <c r="X14" s="1"/>
    </row>
    <row r="15" spans="1:27" s="4" customFormat="1" x14ac:dyDescent="0.25">
      <c r="A15" s="3" t="s">
        <v>13</v>
      </c>
      <c r="B15" s="4">
        <v>19505</v>
      </c>
      <c r="C15" s="4">
        <v>19665</v>
      </c>
      <c r="D15" s="4">
        <v>21278</v>
      </c>
      <c r="E15" s="4">
        <v>21853</v>
      </c>
      <c r="F15" s="4">
        <v>17057</v>
      </c>
      <c r="G15" s="4">
        <v>10024</v>
      </c>
      <c r="H15" s="4">
        <v>13123</v>
      </c>
      <c r="I15" s="4">
        <v>17559</v>
      </c>
      <c r="J15" s="4">
        <v>21590</v>
      </c>
      <c r="K15" s="4">
        <v>23493</v>
      </c>
      <c r="L15" s="4">
        <v>28729</v>
      </c>
      <c r="M15" s="4">
        <v>31978</v>
      </c>
      <c r="N15" s="4">
        <v>35793</v>
      </c>
      <c r="O15" s="4">
        <v>22548</v>
      </c>
      <c r="P15" s="4">
        <v>31577</v>
      </c>
      <c r="Q15" s="4">
        <v>22761</v>
      </c>
      <c r="R15" s="4">
        <v>27907</v>
      </c>
      <c r="S15" s="4">
        <v>31613</v>
      </c>
      <c r="T15" s="4">
        <v>28927</v>
      </c>
      <c r="U15" s="4">
        <v>34165</v>
      </c>
      <c r="W15" s="4">
        <v>44492</v>
      </c>
      <c r="X15"/>
      <c r="Y15"/>
      <c r="Z15"/>
      <c r="AA15"/>
    </row>
    <row r="16" spans="1:27" x14ac:dyDescent="0.25">
      <c r="A16" s="1" t="s">
        <v>14</v>
      </c>
      <c r="B16">
        <v>12921</v>
      </c>
      <c r="C16">
        <v>15955</v>
      </c>
      <c r="D16">
        <v>16775</v>
      </c>
      <c r="E16">
        <v>16436</v>
      </c>
      <c r="F16">
        <v>12017</v>
      </c>
      <c r="G16">
        <v>6904</v>
      </c>
      <c r="H16">
        <v>9344</v>
      </c>
      <c r="I16">
        <v>13160</v>
      </c>
      <c r="J16">
        <v>14681</v>
      </c>
      <c r="K16">
        <v>16956</v>
      </c>
      <c r="L16">
        <v>21269</v>
      </c>
      <c r="M16">
        <v>24821</v>
      </c>
      <c r="N16">
        <v>27896</v>
      </c>
      <c r="O16">
        <v>18092</v>
      </c>
      <c r="P16">
        <v>20848</v>
      </c>
      <c r="Q16">
        <v>18711</v>
      </c>
      <c r="R16">
        <v>21270</v>
      </c>
      <c r="S16">
        <v>38575</v>
      </c>
      <c r="T16">
        <v>24109</v>
      </c>
      <c r="U16">
        <v>28585</v>
      </c>
      <c r="W16">
        <v>38654</v>
      </c>
      <c r="X16" s="1"/>
    </row>
    <row r="17" spans="1:24" x14ac:dyDescent="0.25">
      <c r="A17" s="1" t="s">
        <v>15</v>
      </c>
      <c r="B17" s="5">
        <v>0.34</v>
      </c>
      <c r="C17" s="5">
        <v>0.19</v>
      </c>
      <c r="D17" s="5">
        <v>0.21</v>
      </c>
      <c r="E17" s="5">
        <v>0.25</v>
      </c>
      <c r="F17" s="5">
        <v>0.3</v>
      </c>
      <c r="G17" s="5">
        <v>0.31</v>
      </c>
      <c r="H17" s="5">
        <v>0.28999999999999998</v>
      </c>
      <c r="I17" s="5">
        <v>0.25</v>
      </c>
      <c r="J17" s="5">
        <v>0.32</v>
      </c>
      <c r="K17" s="5">
        <v>0.28000000000000003</v>
      </c>
      <c r="L17" s="5">
        <v>0.26</v>
      </c>
      <c r="M17" s="5">
        <v>0.22</v>
      </c>
      <c r="N17" s="5">
        <v>0.22</v>
      </c>
      <c r="O17" s="5">
        <v>0.2</v>
      </c>
      <c r="P17" s="5">
        <v>0.34</v>
      </c>
      <c r="Q17" s="5">
        <v>0.18</v>
      </c>
      <c r="R17" s="6">
        <v>0.23799999999999999</v>
      </c>
      <c r="S17" s="6">
        <v>0.22</v>
      </c>
      <c r="T17" s="6">
        <v>0.16700000000000001</v>
      </c>
      <c r="U17" s="6">
        <v>0.16300000000000001</v>
      </c>
      <c r="V17" s="6"/>
      <c r="W17" s="6">
        <v>0.13100000000000001</v>
      </c>
    </row>
    <row r="18" spans="1:24" x14ac:dyDescent="0.25">
      <c r="A18" s="1" t="s">
        <v>16</v>
      </c>
      <c r="B18">
        <v>14304</v>
      </c>
      <c r="C18">
        <v>14486</v>
      </c>
      <c r="D18">
        <v>14380</v>
      </c>
      <c r="E18">
        <v>14781</v>
      </c>
      <c r="F18">
        <v>14348</v>
      </c>
      <c r="G18">
        <v>8505</v>
      </c>
      <c r="H18">
        <v>14504</v>
      </c>
      <c r="I18">
        <v>14504</v>
      </c>
      <c r="J18">
        <v>14601</v>
      </c>
      <c r="K18">
        <v>15086</v>
      </c>
      <c r="L18">
        <v>15137</v>
      </c>
      <c r="M18">
        <v>15137</v>
      </c>
      <c r="N18">
        <v>15137</v>
      </c>
      <c r="O18">
        <v>15143</v>
      </c>
      <c r="P18">
        <v>15219</v>
      </c>
      <c r="Q18">
        <v>15219</v>
      </c>
      <c r="R18">
        <f>1029+1290+2143+2098+1522+826+1261+923+1723+775+1629</f>
        <v>15219</v>
      </c>
      <c r="S18">
        <v>15219</v>
      </c>
      <c r="U18">
        <f>1029+1290+2143+2098+1522+826+1261+923+1723+775+1629</f>
        <v>15219</v>
      </c>
      <c r="X18" s="1"/>
    </row>
    <row r="19" spans="1:24" x14ac:dyDescent="0.25">
      <c r="A19" s="1" t="s">
        <v>17</v>
      </c>
      <c r="B19">
        <v>2389</v>
      </c>
      <c r="C19">
        <v>1287</v>
      </c>
      <c r="D19">
        <v>1071</v>
      </c>
      <c r="E19">
        <v>1071</v>
      </c>
      <c r="F19">
        <v>1000</v>
      </c>
      <c r="G19">
        <v>406</v>
      </c>
      <c r="H19">
        <v>949</v>
      </c>
      <c r="I19">
        <v>957</v>
      </c>
      <c r="J19">
        <v>1042</v>
      </c>
      <c r="K19">
        <v>1017</v>
      </c>
      <c r="L19">
        <v>949</v>
      </c>
      <c r="M19">
        <v>890</v>
      </c>
      <c r="N19">
        <v>777</v>
      </c>
      <c r="O19">
        <v>1489</v>
      </c>
      <c r="P19">
        <v>1282</v>
      </c>
      <c r="Q19">
        <v>1292</v>
      </c>
      <c r="S19">
        <f>S18*0.0855</f>
        <v>1301.2245</v>
      </c>
    </row>
    <row r="20" spans="1:24" x14ac:dyDescent="0.25">
      <c r="A20" s="1" t="s">
        <v>18</v>
      </c>
      <c r="B20">
        <v>16.7</v>
      </c>
      <c r="C20">
        <v>8.9</v>
      </c>
      <c r="D20">
        <v>7.4</v>
      </c>
      <c r="E20">
        <v>7.2</v>
      </c>
      <c r="F20">
        <v>7</v>
      </c>
      <c r="G20">
        <v>4.8</v>
      </c>
      <c r="H20">
        <v>6.5</v>
      </c>
      <c r="I20">
        <v>6.6</v>
      </c>
      <c r="J20">
        <v>7.1</v>
      </c>
      <c r="K20">
        <v>6.7</v>
      </c>
      <c r="L20">
        <v>6.3</v>
      </c>
      <c r="M20">
        <v>5.9</v>
      </c>
      <c r="N20">
        <v>5.0999999999999996</v>
      </c>
      <c r="O20">
        <v>9.8000000000000007</v>
      </c>
      <c r="P20">
        <v>8.4</v>
      </c>
      <c r="Q20">
        <v>8.5</v>
      </c>
      <c r="R20">
        <v>8.5</v>
      </c>
      <c r="S20">
        <v>8.5</v>
      </c>
      <c r="T20">
        <v>8.5</v>
      </c>
      <c r="U20">
        <v>8.5</v>
      </c>
      <c r="W20">
        <v>8.5</v>
      </c>
    </row>
    <row r="21" spans="1:24" x14ac:dyDescent="0.25">
      <c r="A21" s="1" t="s">
        <v>19</v>
      </c>
      <c r="B21">
        <v>1.36</v>
      </c>
      <c r="C21">
        <v>1.36</v>
      </c>
      <c r="D21">
        <v>1.48</v>
      </c>
      <c r="E21">
        <v>1.48</v>
      </c>
      <c r="F21">
        <v>1.19</v>
      </c>
      <c r="G21">
        <v>1.18</v>
      </c>
      <c r="H21">
        <v>0.9</v>
      </c>
      <c r="I21">
        <v>1.21</v>
      </c>
      <c r="J21">
        <v>1.48</v>
      </c>
      <c r="K21">
        <v>1.56</v>
      </c>
      <c r="L21">
        <v>1.9</v>
      </c>
      <c r="M21">
        <v>2.11</v>
      </c>
      <c r="N21">
        <v>2.36</v>
      </c>
      <c r="O21">
        <v>1.49</v>
      </c>
      <c r="P21">
        <v>2.0699999999999998</v>
      </c>
      <c r="Q21">
        <v>1.5</v>
      </c>
      <c r="R21">
        <v>1.83</v>
      </c>
      <c r="S21">
        <f>S15/S18</f>
        <v>2.0772061239240425</v>
      </c>
      <c r="T21">
        <f>T15/15219</f>
        <v>1.9007162100006572</v>
      </c>
      <c r="U21">
        <v>2.25</v>
      </c>
      <c r="W21">
        <v>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CEFE-CNRS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CHAMAILLE</dc:creator>
  <cp:lastModifiedBy>Simon CHAMAILLE</cp:lastModifiedBy>
  <dcterms:created xsi:type="dcterms:W3CDTF">2025-04-07T09:16:57Z</dcterms:created>
  <dcterms:modified xsi:type="dcterms:W3CDTF">2025-04-07T09:18:36Z</dcterms:modified>
</cp:coreProperties>
</file>